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gkouf\OneDrive\Desktop\CTS-130 SPREADSHEET\Excel Module 6 SAM Textbook Project\"/>
    </mc:Choice>
  </mc:AlternateContent>
  <xr:revisionPtr revIDLastSave="0" documentId="13_ncr:1_{ACD76173-D72D-4058-A7FF-92A29D183A6D}" xr6:coauthVersionLast="47" xr6:coauthVersionMax="47" xr10:uidLastSave="{00000000-0000-0000-0000-000000000000}"/>
  <bookViews>
    <workbookView xWindow="390" yWindow="390" windowWidth="19260" windowHeight="10920" activeTab="1" xr2:uid="{FD70C3A9-66A5-4608-AF7C-77B8DA89D024}"/>
  </bookViews>
  <sheets>
    <sheet name="Documentation" sheetId="1" r:id="rId1"/>
    <sheet name="Dashboard" sheetId="2" r:id="rId2"/>
    <sheet name="Employees" sheetId="3" r:id="rId3"/>
    <sheet name="Data Definitions" sheetId="4" r:id="rId4"/>
  </sheets>
  <definedNames>
    <definedName name="_xlnm._FilterDatabase" localSheetId="2" hidden="1">Employees!$A$4:$P$534</definedName>
    <definedName name="_xlchart.v1.0" hidden="1">Employees!$M$5:$M$534</definedName>
    <definedName name="Slicer_DEPT">#N/A</definedName>
    <definedName name="Slicer_HIRE_YEAR">#N/A</definedName>
    <definedName name="Slicer_OFFIC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5" i="2" l="1"/>
  <c r="H24" i="2"/>
  <c r="H23" i="2"/>
  <c r="H22" i="2"/>
  <c r="E21" i="2"/>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P535" i="3"/>
  <c r="O535" i="3"/>
  <c r="N535" i="3"/>
  <c r="L535" i="3"/>
  <c r="K535" i="3"/>
  <c r="J535" i="3"/>
  <c r="B4" i="1"/>
  <c r="E24" i="2" l="1"/>
  <c r="E25" i="2"/>
  <c r="E23" i="2"/>
  <c r="E22" i="2"/>
</calcChain>
</file>

<file path=xl/sharedStrings.xml><?xml version="1.0" encoding="utf-8"?>
<sst xmlns="http://schemas.openxmlformats.org/spreadsheetml/2006/main" count="3295" uniqueCount="1422">
  <si>
    <t>Orthographic</t>
  </si>
  <si>
    <t>Author</t>
  </si>
  <si>
    <t>Date</t>
  </si>
  <si>
    <t>Purpose</t>
  </si>
  <si>
    <t>Employment Dashboard</t>
  </si>
  <si>
    <t>Summary</t>
  </si>
  <si>
    <t>Employee Lookup</t>
  </si>
  <si>
    <t>Employees</t>
  </si>
  <si>
    <t>ID</t>
  </si>
  <si>
    <t>e775-213</t>
  </si>
  <si>
    <t>Name</t>
  </si>
  <si>
    <t>Department</t>
  </si>
  <si>
    <t>City</t>
  </si>
  <si>
    <t>e424-713</t>
  </si>
  <si>
    <t>Ella</t>
  </si>
  <si>
    <t>Strickland</t>
  </si>
  <si>
    <t>Administration</t>
  </si>
  <si>
    <t>Boston</t>
  </si>
  <si>
    <t>MA</t>
  </si>
  <si>
    <t>e933-512</t>
  </si>
  <si>
    <t>Daniel</t>
  </si>
  <si>
    <t>Molter</t>
  </si>
  <si>
    <t>Customer Support</t>
  </si>
  <si>
    <t>e564-412</t>
  </si>
  <si>
    <t>Maria</t>
  </si>
  <si>
    <t>Sanders</t>
  </si>
  <si>
    <t>Finance</t>
  </si>
  <si>
    <t>e567-412</t>
  </si>
  <si>
    <t>Jeffery</t>
  </si>
  <si>
    <t>Saylors</t>
  </si>
  <si>
    <t>e778-213</t>
  </si>
  <si>
    <t>Kelly</t>
  </si>
  <si>
    <t>Sample</t>
  </si>
  <si>
    <t>Human Resources</t>
  </si>
  <si>
    <t>e468-913</t>
  </si>
  <si>
    <t>Charles</t>
  </si>
  <si>
    <t>Mandel</t>
  </si>
  <si>
    <t>IT</t>
  </si>
  <si>
    <t>e312-712</t>
  </si>
  <si>
    <t>Ann</t>
  </si>
  <si>
    <t>Rojas</t>
  </si>
  <si>
    <t>Marketing</t>
  </si>
  <si>
    <t>e545-413</t>
  </si>
  <si>
    <t>Christopher</t>
  </si>
  <si>
    <t>Speidel</t>
  </si>
  <si>
    <t>R&amp;D</t>
  </si>
  <si>
    <t>e655-112</t>
  </si>
  <si>
    <t>Elizabeth</t>
  </si>
  <si>
    <t>Robles</t>
  </si>
  <si>
    <t>Sales</t>
  </si>
  <si>
    <t>e544-813</t>
  </si>
  <si>
    <t>Monica</t>
  </si>
  <si>
    <t>Hackett</t>
  </si>
  <si>
    <t>Accounting</t>
  </si>
  <si>
    <t>Jean</t>
  </si>
  <si>
    <t>e156-213</t>
  </si>
  <si>
    <t>Deborah</t>
  </si>
  <si>
    <t>King</t>
  </si>
  <si>
    <t>e265-613</t>
  </si>
  <si>
    <t>Hattie</t>
  </si>
  <si>
    <t>Lentini</t>
  </si>
  <si>
    <t>e150-313</t>
  </si>
  <si>
    <t>Stephen</t>
  </si>
  <si>
    <t>Shuler</t>
  </si>
  <si>
    <t>e512-213</t>
  </si>
  <si>
    <t>Shorter</t>
  </si>
  <si>
    <t>e196-313</t>
  </si>
  <si>
    <t>Michelle</t>
  </si>
  <si>
    <t>Dobbs</t>
  </si>
  <si>
    <t>e766-813</t>
  </si>
  <si>
    <t>Rhonda</t>
  </si>
  <si>
    <t>Boyette</t>
  </si>
  <si>
    <t>e378-913</t>
  </si>
  <si>
    <t>Deanna</t>
  </si>
  <si>
    <t>Robinson</t>
  </si>
  <si>
    <t>e195-613</t>
  </si>
  <si>
    <t>Sterling</t>
  </si>
  <si>
    <t>Noll</t>
  </si>
  <si>
    <t>e867-913</t>
  </si>
  <si>
    <t>Rita</t>
  </si>
  <si>
    <t>Roden</t>
  </si>
  <si>
    <t>e843-813</t>
  </si>
  <si>
    <t>Paul</t>
  </si>
  <si>
    <t>Havens</t>
  </si>
  <si>
    <t>e755-913</t>
  </si>
  <si>
    <t>Doris</t>
  </si>
  <si>
    <t>Harris</t>
  </si>
  <si>
    <t>e199-313</t>
  </si>
  <si>
    <t>Jill</t>
  </si>
  <si>
    <t>Crowell</t>
  </si>
  <si>
    <t>e836-613</t>
  </si>
  <si>
    <t>Robert</t>
  </si>
  <si>
    <t>Helton</t>
  </si>
  <si>
    <t>e631-713</t>
  </si>
  <si>
    <t>John</t>
  </si>
  <si>
    <t>Junior</t>
  </si>
  <si>
    <t>e317-713</t>
  </si>
  <si>
    <t>Shawn</t>
  </si>
  <si>
    <t>Bowen</t>
  </si>
  <si>
    <t>e459-913</t>
  </si>
  <si>
    <t>Amy</t>
  </si>
  <si>
    <t>Carter</t>
  </si>
  <si>
    <t>e280-413</t>
  </si>
  <si>
    <t>Thomas</t>
  </si>
  <si>
    <t>Doi</t>
  </si>
  <si>
    <t>e385-413</t>
  </si>
  <si>
    <t>Dorothy</t>
  </si>
  <si>
    <t>Lafayette</t>
  </si>
  <si>
    <t>e522-813</t>
  </si>
  <si>
    <t>June</t>
  </si>
  <si>
    <t>Procter</t>
  </si>
  <si>
    <t>Chicago</t>
  </si>
  <si>
    <t>IL</t>
  </si>
  <si>
    <t>e945-313</t>
  </si>
  <si>
    <t>William</t>
  </si>
  <si>
    <t>Dyer</t>
  </si>
  <si>
    <t>e252-513</t>
  </si>
  <si>
    <t>e381-213</t>
  </si>
  <si>
    <t>Martha</t>
  </si>
  <si>
    <t>Brent</t>
  </si>
  <si>
    <t>Nicholas</t>
  </si>
  <si>
    <t>e154-213</t>
  </si>
  <si>
    <t>Olivia</t>
  </si>
  <si>
    <t>Garcia</t>
  </si>
  <si>
    <t>e153-213</t>
  </si>
  <si>
    <t>Phyllis</t>
  </si>
  <si>
    <t>Danek</t>
  </si>
  <si>
    <t>e410-813</t>
  </si>
  <si>
    <t>Louise</t>
  </si>
  <si>
    <t>Bruno</t>
  </si>
  <si>
    <t>e699-813</t>
  </si>
  <si>
    <t>Kenneth</t>
  </si>
  <si>
    <t>Strouth</t>
  </si>
  <si>
    <t>e892-413</t>
  </si>
  <si>
    <t>James</t>
  </si>
  <si>
    <t>Watkins</t>
  </si>
  <si>
    <t>e729-213</t>
  </si>
  <si>
    <t>Timothy</t>
  </si>
  <si>
    <t>Speakman</t>
  </si>
  <si>
    <t>e701-113</t>
  </si>
  <si>
    <t>Jerome</t>
  </si>
  <si>
    <t>Myers</t>
  </si>
  <si>
    <t>e674-714</t>
  </si>
  <si>
    <t>Branch</t>
  </si>
  <si>
    <t>e122-314</t>
  </si>
  <si>
    <t>Castellano</t>
  </si>
  <si>
    <t>e882-814</t>
  </si>
  <si>
    <t>Tina</t>
  </si>
  <si>
    <t>Holt</t>
  </si>
  <si>
    <t>e254-114</t>
  </si>
  <si>
    <t>Carmine</t>
  </si>
  <si>
    <t>Knotts</t>
  </si>
  <si>
    <t>e610-214</t>
  </si>
  <si>
    <t>Katherine</t>
  </si>
  <si>
    <t>e480-114</t>
  </si>
  <si>
    <t>Eric</t>
  </si>
  <si>
    <t>Grady</t>
  </si>
  <si>
    <t>e522-114</t>
  </si>
  <si>
    <t>Amanda</t>
  </si>
  <si>
    <t>Jones</t>
  </si>
  <si>
    <t>e484-114</t>
  </si>
  <si>
    <t>Melissa</t>
  </si>
  <si>
    <t>Dougherty</t>
  </si>
  <si>
    <t>e737-714</t>
  </si>
  <si>
    <t>Vick</t>
  </si>
  <si>
    <t>e981-414</t>
  </si>
  <si>
    <t>Erna</t>
  </si>
  <si>
    <t>Pou</t>
  </si>
  <si>
    <t>e600-314</t>
  </si>
  <si>
    <t>Bartlett</t>
  </si>
  <si>
    <t>e140-114</t>
  </si>
  <si>
    <t>Isabel</t>
  </si>
  <si>
    <t>e168-714</t>
  </si>
  <si>
    <t>Susan</t>
  </si>
  <si>
    <t>Stetson</t>
  </si>
  <si>
    <t>e461-414</t>
  </si>
  <si>
    <t>Stacey</t>
  </si>
  <si>
    <t>e545-514</t>
  </si>
  <si>
    <t>Bruce</t>
  </si>
  <si>
    <t>Devinney</t>
  </si>
  <si>
    <t>e172-214</t>
  </si>
  <si>
    <t>Natalie</t>
  </si>
  <si>
    <t>Quezada</t>
  </si>
  <si>
    <t>e526-114</t>
  </si>
  <si>
    <t>Angelina</t>
  </si>
  <si>
    <t>Ferrell</t>
  </si>
  <si>
    <t>e321-714</t>
  </si>
  <si>
    <t>Claudio</t>
  </si>
  <si>
    <t>Rudd</t>
  </si>
  <si>
    <t>e431-714</t>
  </si>
  <si>
    <t>Patsy</t>
  </si>
  <si>
    <t>Dozier</t>
  </si>
  <si>
    <t>e803-114</t>
  </si>
  <si>
    <t>Patricia</t>
  </si>
  <si>
    <t>Orr</t>
  </si>
  <si>
    <t>e797-214</t>
  </si>
  <si>
    <t>Sitz</t>
  </si>
  <si>
    <t>e988-814</t>
  </si>
  <si>
    <t>Page</t>
  </si>
  <si>
    <t>e544-214</t>
  </si>
  <si>
    <t>e982-714</t>
  </si>
  <si>
    <t>Ralph</t>
  </si>
  <si>
    <t>Boyster</t>
  </si>
  <si>
    <t>e264-914</t>
  </si>
  <si>
    <t>Richard</t>
  </si>
  <si>
    <t>Allen</t>
  </si>
  <si>
    <t>e327-814</t>
  </si>
  <si>
    <t>Childers</t>
  </si>
  <si>
    <t>e844-914</t>
  </si>
  <si>
    <t>Kathleen</t>
  </si>
  <si>
    <t>Goldberg</t>
  </si>
  <si>
    <t>e982-514</t>
  </si>
  <si>
    <t>Ernestina</t>
  </si>
  <si>
    <t>Joyce</t>
  </si>
  <si>
    <t>e464-914</t>
  </si>
  <si>
    <t>Randi</t>
  </si>
  <si>
    <t>Luo</t>
  </si>
  <si>
    <t>Denver</t>
  </si>
  <si>
    <t>CO</t>
  </si>
  <si>
    <t>e807-514</t>
  </si>
  <si>
    <t>Betty</t>
  </si>
  <si>
    <t>Batchelor</t>
  </si>
  <si>
    <t>e588-514</t>
  </si>
  <si>
    <t>Michael</t>
  </si>
  <si>
    <t>Russo</t>
  </si>
  <si>
    <t>e649-814</t>
  </si>
  <si>
    <t>Danielle</t>
  </si>
  <si>
    <t>e582-714</t>
  </si>
  <si>
    <t>Bertha</t>
  </si>
  <si>
    <t>Shepherd</t>
  </si>
  <si>
    <t>e891-614</t>
  </si>
  <si>
    <t>Tonya</t>
  </si>
  <si>
    <t>Moua</t>
  </si>
  <si>
    <t>e340-914</t>
  </si>
  <si>
    <t>e150-514</t>
  </si>
  <si>
    <t>Russell</t>
  </si>
  <si>
    <t>Rethman</t>
  </si>
  <si>
    <t>e371-914</t>
  </si>
  <si>
    <t>Tom</t>
  </si>
  <si>
    <t>Roberson</t>
  </si>
  <si>
    <t>e844-714</t>
  </si>
  <si>
    <t>Brian</t>
  </si>
  <si>
    <t>Shin</t>
  </si>
  <si>
    <t>e978-814</t>
  </si>
  <si>
    <t>Amos</t>
  </si>
  <si>
    <t>Bristow</t>
  </si>
  <si>
    <t>e565-815</t>
  </si>
  <si>
    <t>Matthew</t>
  </si>
  <si>
    <t>Trinidad</t>
  </si>
  <si>
    <t>e289-115</t>
  </si>
  <si>
    <t>Mccoy</t>
  </si>
  <si>
    <t>e175-615</t>
  </si>
  <si>
    <t>Griffith</t>
  </si>
  <si>
    <t>e775-315</t>
  </si>
  <si>
    <t>Linn</t>
  </si>
  <si>
    <t>Sermons</t>
  </si>
  <si>
    <t>e565-215</t>
  </si>
  <si>
    <t>Cox</t>
  </si>
  <si>
    <t>e111-215</t>
  </si>
  <si>
    <t>e184-815</t>
  </si>
  <si>
    <t>Bradley</t>
  </si>
  <si>
    <t>Tufts</t>
  </si>
  <si>
    <t>e150-715</t>
  </si>
  <si>
    <t>Mansfield</t>
  </si>
  <si>
    <t>e993-915</t>
  </si>
  <si>
    <t>Anika</t>
  </si>
  <si>
    <t>Laboy</t>
  </si>
  <si>
    <t>e668-415</t>
  </si>
  <si>
    <t>David</t>
  </si>
  <si>
    <t>Whitlatch</t>
  </si>
  <si>
    <t>e917-615</t>
  </si>
  <si>
    <t>Smith</t>
  </si>
  <si>
    <t>e507-915</t>
  </si>
  <si>
    <t>Jacqueline</t>
  </si>
  <si>
    <t>Willis</t>
  </si>
  <si>
    <t>e707-515</t>
  </si>
  <si>
    <t>e640-615</t>
  </si>
  <si>
    <t>Ruth</t>
  </si>
  <si>
    <t>Christensen</t>
  </si>
  <si>
    <t>e666-415</t>
  </si>
  <si>
    <t>Goodsell</t>
  </si>
  <si>
    <t>e421-815</t>
  </si>
  <si>
    <t>Dorsey</t>
  </si>
  <si>
    <t>e192-215</t>
  </si>
  <si>
    <t>Frederick</t>
  </si>
  <si>
    <t>Kim</t>
  </si>
  <si>
    <t>e868-615</t>
  </si>
  <si>
    <t>Crystal</t>
  </si>
  <si>
    <t>Butler</t>
  </si>
  <si>
    <t>e922-615</t>
  </si>
  <si>
    <t>Lawrence</t>
  </si>
  <si>
    <t>Pfaff</t>
  </si>
  <si>
    <t>e205-115</t>
  </si>
  <si>
    <t>Sherri</t>
  </si>
  <si>
    <t>Nelson</t>
  </si>
  <si>
    <t>e640-515</t>
  </si>
  <si>
    <t>Keith</t>
  </si>
  <si>
    <t>Aaron</t>
  </si>
  <si>
    <t>e730-915</t>
  </si>
  <si>
    <t>Luann</t>
  </si>
  <si>
    <t>Gilden</t>
  </si>
  <si>
    <t>e996-815</t>
  </si>
  <si>
    <t>Bennie</t>
  </si>
  <si>
    <t>Treadwell</t>
  </si>
  <si>
    <t>e556-415</t>
  </si>
  <si>
    <t>Dan</t>
  </si>
  <si>
    <t>Sanabria</t>
  </si>
  <si>
    <t>e885-415</t>
  </si>
  <si>
    <t>e135-715</t>
  </si>
  <si>
    <t>Dayna</t>
  </si>
  <si>
    <t>Adelman</t>
  </si>
  <si>
    <t>e715-915</t>
  </si>
  <si>
    <t>Gina</t>
  </si>
  <si>
    <t>Miller</t>
  </si>
  <si>
    <t>e345-115</t>
  </si>
  <si>
    <t>e811-915</t>
  </si>
  <si>
    <t>Anita</t>
  </si>
  <si>
    <t>Story</t>
  </si>
  <si>
    <t>e206-815</t>
  </si>
  <si>
    <t>Farmer</t>
  </si>
  <si>
    <t>e222-915</t>
  </si>
  <si>
    <t>Elaine</t>
  </si>
  <si>
    <t>Diaz</t>
  </si>
  <si>
    <t>e685-915</t>
  </si>
  <si>
    <t>Susie</t>
  </si>
  <si>
    <t>Schreiner</t>
  </si>
  <si>
    <t>e659-715</t>
  </si>
  <si>
    <t>Rodriguez</t>
  </si>
  <si>
    <t>e880-815</t>
  </si>
  <si>
    <t>Mcelhannon</t>
  </si>
  <si>
    <t>e702-615</t>
  </si>
  <si>
    <t>Donna</t>
  </si>
  <si>
    <t>Zimmerman</t>
  </si>
  <si>
    <t>e288-815</t>
  </si>
  <si>
    <t>Brown</t>
  </si>
  <si>
    <t>e306-915</t>
  </si>
  <si>
    <t>Joan</t>
  </si>
  <si>
    <t>Pina</t>
  </si>
  <si>
    <t>e504-315</t>
  </si>
  <si>
    <t>Pricilla</t>
  </si>
  <si>
    <t>Santangelo</t>
  </si>
  <si>
    <t>e147-616</t>
  </si>
  <si>
    <t>Shelley</t>
  </si>
  <si>
    <t>Baker</t>
  </si>
  <si>
    <t>e848-816</t>
  </si>
  <si>
    <t>Walter</t>
  </si>
  <si>
    <t>Henderson</t>
  </si>
  <si>
    <t>e327-116</t>
  </si>
  <si>
    <t>Fae</t>
  </si>
  <si>
    <t>Hawkins</t>
  </si>
  <si>
    <t>e412-416</t>
  </si>
  <si>
    <t>Barrett</t>
  </si>
  <si>
    <t>e993-916</t>
  </si>
  <si>
    <t>Lebeau</t>
  </si>
  <si>
    <t>e496-216</t>
  </si>
  <si>
    <t>Margaret</t>
  </si>
  <si>
    <t>Burroughs</t>
  </si>
  <si>
    <t>e304-916</t>
  </si>
  <si>
    <t>Gwendolyn</t>
  </si>
  <si>
    <t>Baxter</t>
  </si>
  <si>
    <t>e548-616</t>
  </si>
  <si>
    <t>Moyer</t>
  </si>
  <si>
    <t>e850-816</t>
  </si>
  <si>
    <t>Albert</t>
  </si>
  <si>
    <t>Berry</t>
  </si>
  <si>
    <t>e511-716</t>
  </si>
  <si>
    <t>Victoria</t>
  </si>
  <si>
    <t>e725-116</t>
  </si>
  <si>
    <t>Scott</t>
  </si>
  <si>
    <t>Reed</t>
  </si>
  <si>
    <t>e638-716</t>
  </si>
  <si>
    <t>e600-616</t>
  </si>
  <si>
    <t>Geneva</t>
  </si>
  <si>
    <t>Martin</t>
  </si>
  <si>
    <t>e716-716</t>
  </si>
  <si>
    <t>Byrne</t>
  </si>
  <si>
    <t>e630-716</t>
  </si>
  <si>
    <t>Frances</t>
  </si>
  <si>
    <t>Humphrey</t>
  </si>
  <si>
    <t>e573-516</t>
  </si>
  <si>
    <t>Terry</t>
  </si>
  <si>
    <t>Peoples</t>
  </si>
  <si>
    <t>e897-216</t>
  </si>
  <si>
    <t>Wells</t>
  </si>
  <si>
    <t>e643-916</t>
  </si>
  <si>
    <t>Clemente</t>
  </si>
  <si>
    <t>Pettit</t>
  </si>
  <si>
    <t>e391-316</t>
  </si>
  <si>
    <t>Alma</t>
  </si>
  <si>
    <t>e459-116</t>
  </si>
  <si>
    <t>Dorthy</t>
  </si>
  <si>
    <t>Cole</t>
  </si>
  <si>
    <t>e545-916</t>
  </si>
  <si>
    <t>Lewis</t>
  </si>
  <si>
    <t>Ford</t>
  </si>
  <si>
    <t>e311-916</t>
  </si>
  <si>
    <t>Christie</t>
  </si>
  <si>
    <t>Badger</t>
  </si>
  <si>
    <t>e488-516</t>
  </si>
  <si>
    <t>Ollie</t>
  </si>
  <si>
    <t>Catanzaro</t>
  </si>
  <si>
    <t>e515-916</t>
  </si>
  <si>
    <t>Griffin</t>
  </si>
  <si>
    <t>e518-716</t>
  </si>
  <si>
    <t>Fields</t>
  </si>
  <si>
    <t>e814-416</t>
  </si>
  <si>
    <t>Reynolds</t>
  </si>
  <si>
    <t>e604-516</t>
  </si>
  <si>
    <t>Melody</t>
  </si>
  <si>
    <t>Beck</t>
  </si>
  <si>
    <t>e219-416</t>
  </si>
  <si>
    <t>Phelps</t>
  </si>
  <si>
    <t>e850-316</t>
  </si>
  <si>
    <t>e252-616</t>
  </si>
  <si>
    <t>Sharon</t>
  </si>
  <si>
    <t>Colvin</t>
  </si>
  <si>
    <t>e246-316</t>
  </si>
  <si>
    <t>Delreal</t>
  </si>
  <si>
    <t>e952-616</t>
  </si>
  <si>
    <t>Gertrude</t>
  </si>
  <si>
    <t>Rosa</t>
  </si>
  <si>
    <t>e351-816</t>
  </si>
  <si>
    <t>e964-416</t>
  </si>
  <si>
    <t>Karen</t>
  </si>
  <si>
    <t>Parkison</t>
  </si>
  <si>
    <t>e575-716</t>
  </si>
  <si>
    <t>Phillip</t>
  </si>
  <si>
    <t>Simmons</t>
  </si>
  <si>
    <t>e815-416</t>
  </si>
  <si>
    <t>Debra</t>
  </si>
  <si>
    <t>Snow</t>
  </si>
  <si>
    <t>e747-116</t>
  </si>
  <si>
    <t>Lisa</t>
  </si>
  <si>
    <t>Ballard</t>
  </si>
  <si>
    <t>San Francisco</t>
  </si>
  <si>
    <t>CA</t>
  </si>
  <si>
    <t>e671-116</t>
  </si>
  <si>
    <t>Joey</t>
  </si>
  <si>
    <t>Sorrentino</t>
  </si>
  <si>
    <t>e803-516</t>
  </si>
  <si>
    <t>Sean</t>
  </si>
  <si>
    <t>Fuchs</t>
  </si>
  <si>
    <t>e189-216</t>
  </si>
  <si>
    <t>Anderson</t>
  </si>
  <si>
    <t>e415-616</t>
  </si>
  <si>
    <t>e746-716</t>
  </si>
  <si>
    <t>Boaz</t>
  </si>
  <si>
    <t>e294-416</t>
  </si>
  <si>
    <t>Caldera</t>
  </si>
  <si>
    <t>e244-816</t>
  </si>
  <si>
    <t>Terrell</t>
  </si>
  <si>
    <t>Manzo</t>
  </si>
  <si>
    <t>e678-516</t>
  </si>
  <si>
    <t>Anna</t>
  </si>
  <si>
    <t>e666-916</t>
  </si>
  <si>
    <t>Sam</t>
  </si>
  <si>
    <t>Bell</t>
  </si>
  <si>
    <t>e474-416</t>
  </si>
  <si>
    <t>Tommy</t>
  </si>
  <si>
    <t>Calhoun</t>
  </si>
  <si>
    <t>e149-216</t>
  </si>
  <si>
    <t>Maira</t>
  </si>
  <si>
    <t>Doe</t>
  </si>
  <si>
    <t>e190-416</t>
  </si>
  <si>
    <t>Wyatt</t>
  </si>
  <si>
    <t>Badilla</t>
  </si>
  <si>
    <t>e435-916</t>
  </si>
  <si>
    <t>e422-916</t>
  </si>
  <si>
    <t>Mary</t>
  </si>
  <si>
    <t>Innocent</t>
  </si>
  <si>
    <t>e624-516</t>
  </si>
  <si>
    <t>Paula</t>
  </si>
  <si>
    <t>Bernardi</t>
  </si>
  <si>
    <t>e405-716</t>
  </si>
  <si>
    <t>Jayne</t>
  </si>
  <si>
    <t>Rodgers</t>
  </si>
  <si>
    <t>e587-616</t>
  </si>
  <si>
    <t>Barbara</t>
  </si>
  <si>
    <t>Gill</t>
  </si>
  <si>
    <t>e619-616</t>
  </si>
  <si>
    <t>Dana</t>
  </si>
  <si>
    <t>Ayer</t>
  </si>
  <si>
    <t>e466-916</t>
  </si>
  <si>
    <t>Henry</t>
  </si>
  <si>
    <t>Boyd</t>
  </si>
  <si>
    <t>e715-416</t>
  </si>
  <si>
    <t>Andrew</t>
  </si>
  <si>
    <t>Adams</t>
  </si>
  <si>
    <t>e307-316</t>
  </si>
  <si>
    <t>Lesli</t>
  </si>
  <si>
    <t>Laborde</t>
  </si>
  <si>
    <t>e510-516</t>
  </si>
  <si>
    <t>Tara</t>
  </si>
  <si>
    <t>Morrissette</t>
  </si>
  <si>
    <t>e897-916</t>
  </si>
  <si>
    <t>Max</t>
  </si>
  <si>
    <t>Walker</t>
  </si>
  <si>
    <t>e782-716</t>
  </si>
  <si>
    <t>Sluss</t>
  </si>
  <si>
    <t>e861-316</t>
  </si>
  <si>
    <t>e425-617</t>
  </si>
  <si>
    <t>Clifton</t>
  </si>
  <si>
    <t>Howton</t>
  </si>
  <si>
    <t>e555-417</t>
  </si>
  <si>
    <t>Williams</t>
  </si>
  <si>
    <t>e393-817</t>
  </si>
  <si>
    <t>Otilia</t>
  </si>
  <si>
    <t>Shannon</t>
  </si>
  <si>
    <t>e631-717</t>
  </si>
  <si>
    <t>Blanche</t>
  </si>
  <si>
    <t>Lemire</t>
  </si>
  <si>
    <t>e479-517</t>
  </si>
  <si>
    <t>Easter</t>
  </si>
  <si>
    <t>Spruill</t>
  </si>
  <si>
    <t>e312-917</t>
  </si>
  <si>
    <t>George</t>
  </si>
  <si>
    <t>Hickman</t>
  </si>
  <si>
    <t>e361-217</t>
  </si>
  <si>
    <t>Sherry</t>
  </si>
  <si>
    <t>Oliver</t>
  </si>
  <si>
    <t>e826-817</t>
  </si>
  <si>
    <t>Marco</t>
  </si>
  <si>
    <t>Bullock</t>
  </si>
  <si>
    <t>e609-517</t>
  </si>
  <si>
    <t>Myrtle</t>
  </si>
  <si>
    <t>Dix</t>
  </si>
  <si>
    <t>e418-117</t>
  </si>
  <si>
    <t>e201-917</t>
  </si>
  <si>
    <t>Collinsworth</t>
  </si>
  <si>
    <t>e861-217</t>
  </si>
  <si>
    <t>Hector</t>
  </si>
  <si>
    <t>Clemmer</t>
  </si>
  <si>
    <t>e339-217</t>
  </si>
  <si>
    <t>Jaclyn</t>
  </si>
  <si>
    <t>Barton</t>
  </si>
  <si>
    <t>e626-217</t>
  </si>
  <si>
    <t>Edna</t>
  </si>
  <si>
    <t>Corcoran</t>
  </si>
  <si>
    <t>e980-817</t>
  </si>
  <si>
    <t>e859-717</t>
  </si>
  <si>
    <t>Tammi</t>
  </si>
  <si>
    <t>Hinson</t>
  </si>
  <si>
    <t>e143-817</t>
  </si>
  <si>
    <t>Morris</t>
  </si>
  <si>
    <t>e746-917</t>
  </si>
  <si>
    <t>Collins</t>
  </si>
  <si>
    <t>e194-917</t>
  </si>
  <si>
    <t>Frank</t>
  </si>
  <si>
    <t>e394-817</t>
  </si>
  <si>
    <t>e441-217</t>
  </si>
  <si>
    <t>Julie</t>
  </si>
  <si>
    <t>Otis</t>
  </si>
  <si>
    <t>e498-617</t>
  </si>
  <si>
    <t>Audrey</t>
  </si>
  <si>
    <t>Woods</t>
  </si>
  <si>
    <t>e728-417</t>
  </si>
  <si>
    <t>Rebecca</t>
  </si>
  <si>
    <t>Leo</t>
  </si>
  <si>
    <t>e550-417</t>
  </si>
  <si>
    <t>e746-617</t>
  </si>
  <si>
    <t>Tucker</t>
  </si>
  <si>
    <t>e271-417</t>
  </si>
  <si>
    <t>Shantel</t>
  </si>
  <si>
    <t>Byas</t>
  </si>
  <si>
    <t>e123-217</t>
  </si>
  <si>
    <t>Amber</t>
  </si>
  <si>
    <t>Carmody</t>
  </si>
  <si>
    <t>e782-217</t>
  </si>
  <si>
    <t>Jack</t>
  </si>
  <si>
    <t>Reiner</t>
  </si>
  <si>
    <t>e379-817</t>
  </si>
  <si>
    <t>Jesse</t>
  </si>
  <si>
    <t>Thorton</t>
  </si>
  <si>
    <t>e947-317</t>
  </si>
  <si>
    <t>Barry</t>
  </si>
  <si>
    <t>Kaufman</t>
  </si>
  <si>
    <t>e604-117</t>
  </si>
  <si>
    <t>Sauls</t>
  </si>
  <si>
    <t>e507-817</t>
  </si>
  <si>
    <t>Cynthia</t>
  </si>
  <si>
    <t>Emma</t>
  </si>
  <si>
    <t>e645-117</t>
  </si>
  <si>
    <t>e627-517</t>
  </si>
  <si>
    <t>Simpson</t>
  </si>
  <si>
    <t>e397-517</t>
  </si>
  <si>
    <t>Gregory</t>
  </si>
  <si>
    <t>Vela</t>
  </si>
  <si>
    <t>e922-717</t>
  </si>
  <si>
    <t>Catherine</t>
  </si>
  <si>
    <t>Moreno</t>
  </si>
  <si>
    <t>e749-717</t>
  </si>
  <si>
    <t>Weaver</t>
  </si>
  <si>
    <t>e589-517</t>
  </si>
  <si>
    <t>e137-317</t>
  </si>
  <si>
    <t>Camille</t>
  </si>
  <si>
    <t>Bustamante</t>
  </si>
  <si>
    <t>e252-117</t>
  </si>
  <si>
    <t>Edward</t>
  </si>
  <si>
    <t>Alonzo</t>
  </si>
  <si>
    <t>Courtney</t>
  </si>
  <si>
    <t>Boudreau</t>
  </si>
  <si>
    <t>e731-917</t>
  </si>
  <si>
    <t>Alexander</t>
  </si>
  <si>
    <t>Preston</t>
  </si>
  <si>
    <t>e842-417</t>
  </si>
  <si>
    <t>Flores</t>
  </si>
  <si>
    <t>e432-817</t>
  </si>
  <si>
    <t>Hodo</t>
  </si>
  <si>
    <t>e794-817</t>
  </si>
  <si>
    <t>Luba</t>
  </si>
  <si>
    <t>Hickey</t>
  </si>
  <si>
    <t>e549-117</t>
  </si>
  <si>
    <t>Eckert</t>
  </si>
  <si>
    <t>e307-417</t>
  </si>
  <si>
    <t>Violet</t>
  </si>
  <si>
    <t>Yelton</t>
  </si>
  <si>
    <t>e260-517</t>
  </si>
  <si>
    <t>Gerald</t>
  </si>
  <si>
    <t>Flynn</t>
  </si>
  <si>
    <t>e912-817</t>
  </si>
  <si>
    <t>Benjamin</t>
  </si>
  <si>
    <t>e422-517</t>
  </si>
  <si>
    <t>White</t>
  </si>
  <si>
    <t>e510-717</t>
  </si>
  <si>
    <t>Hannah</t>
  </si>
  <si>
    <t>e355-317</t>
  </si>
  <si>
    <t>Larry</t>
  </si>
  <si>
    <t>Hanson</t>
  </si>
  <si>
    <t>Polanco</t>
  </si>
  <si>
    <t>e271-617</t>
  </si>
  <si>
    <t>Mathew</t>
  </si>
  <si>
    <t>Grace</t>
  </si>
  <si>
    <t>e713-417</t>
  </si>
  <si>
    <t>Alice</t>
  </si>
  <si>
    <t>Howard</t>
  </si>
  <si>
    <t>e515-117</t>
  </si>
  <si>
    <t>Doyle</t>
  </si>
  <si>
    <t>Staten</t>
  </si>
  <si>
    <t>e432-717</t>
  </si>
  <si>
    <t>Bessie</t>
  </si>
  <si>
    <t>Brokaw</t>
  </si>
  <si>
    <t>e496-517</t>
  </si>
  <si>
    <t>Murdock</t>
  </si>
  <si>
    <t>e883-317</t>
  </si>
  <si>
    <t>Jessica</t>
  </si>
  <si>
    <t>Rice</t>
  </si>
  <si>
    <t>e140-617</t>
  </si>
  <si>
    <t>e405-517</t>
  </si>
  <si>
    <t>Betsy</t>
  </si>
  <si>
    <t>Crocker</t>
  </si>
  <si>
    <t>e176-117</t>
  </si>
  <si>
    <t>Herndon</t>
  </si>
  <si>
    <t>e362-317</t>
  </si>
  <si>
    <t>Karin</t>
  </si>
  <si>
    <t>Shanks</t>
  </si>
  <si>
    <t>e377-617</t>
  </si>
  <si>
    <t>Chafin</t>
  </si>
  <si>
    <t>e741-417</t>
  </si>
  <si>
    <t>e197-217</t>
  </si>
  <si>
    <t>Holmes</t>
  </si>
  <si>
    <t>e707-317</t>
  </si>
  <si>
    <t>e309-517</t>
  </si>
  <si>
    <t>Collene</t>
  </si>
  <si>
    <t>Perrone</t>
  </si>
  <si>
    <t>e825-817</t>
  </si>
  <si>
    <t>Vine</t>
  </si>
  <si>
    <t>e166-617</t>
  </si>
  <si>
    <t>Pearl</t>
  </si>
  <si>
    <t>Meeker</t>
  </si>
  <si>
    <t>e719-918</t>
  </si>
  <si>
    <t>Leveille</t>
  </si>
  <si>
    <t>e607-118</t>
  </si>
  <si>
    <t>Luz</t>
  </si>
  <si>
    <t>Hinnant</t>
  </si>
  <si>
    <t>e849-118</t>
  </si>
  <si>
    <t>Modzelewski</t>
  </si>
  <si>
    <t>e548-318</t>
  </si>
  <si>
    <t>Diane</t>
  </si>
  <si>
    <t>Hiatt</t>
  </si>
  <si>
    <t>e820-218</t>
  </si>
  <si>
    <t>Burse</t>
  </si>
  <si>
    <t>e215-818</t>
  </si>
  <si>
    <t>Jackie</t>
  </si>
  <si>
    <t>Wing</t>
  </si>
  <si>
    <t>e654-118</t>
  </si>
  <si>
    <t>Oh</t>
  </si>
  <si>
    <t>e662-718</t>
  </si>
  <si>
    <t>Jennifer</t>
  </si>
  <si>
    <t>e166-118</t>
  </si>
  <si>
    <t>Judith</t>
  </si>
  <si>
    <t>Ratcliff</t>
  </si>
  <si>
    <t>e183-318</t>
  </si>
  <si>
    <t>e201-218</t>
  </si>
  <si>
    <t>Jeanne</t>
  </si>
  <si>
    <t>Beal</t>
  </si>
  <si>
    <t>e598-818</t>
  </si>
  <si>
    <t>Bob</t>
  </si>
  <si>
    <t>Morrison</t>
  </si>
  <si>
    <t>e545-118</t>
  </si>
  <si>
    <t>Jonathon</t>
  </si>
  <si>
    <t>Defreitas</t>
  </si>
  <si>
    <t>e764-118</t>
  </si>
  <si>
    <t>Jenna</t>
  </si>
  <si>
    <t>Burchett</t>
  </si>
  <si>
    <t>e599-118</t>
  </si>
  <si>
    <t>Dallas</t>
  </si>
  <si>
    <t>TX</t>
  </si>
  <si>
    <t>e528-218</t>
  </si>
  <si>
    <t>Jesus</t>
  </si>
  <si>
    <t>Kennedy</t>
  </si>
  <si>
    <t>e453-618</t>
  </si>
  <si>
    <t>Marcus</t>
  </si>
  <si>
    <t>Fegley</t>
  </si>
  <si>
    <t>e482-718</t>
  </si>
  <si>
    <t>Donald</t>
  </si>
  <si>
    <t>Silva</t>
  </si>
  <si>
    <t>e323-618</t>
  </si>
  <si>
    <t>Chiles</t>
  </si>
  <si>
    <t>e947-518</t>
  </si>
  <si>
    <t>e955-718</t>
  </si>
  <si>
    <t>Stamps</t>
  </si>
  <si>
    <t>e474-318</t>
  </si>
  <si>
    <t>Gladys</t>
  </si>
  <si>
    <t>Yamada</t>
  </si>
  <si>
    <t>e261-818</t>
  </si>
  <si>
    <t>Harrell</t>
  </si>
  <si>
    <t>e813-518</t>
  </si>
  <si>
    <t>Judy</t>
  </si>
  <si>
    <t>Partin</t>
  </si>
  <si>
    <t>e476-518</t>
  </si>
  <si>
    <t>Juanita</t>
  </si>
  <si>
    <t>Lopez</t>
  </si>
  <si>
    <t>e157-218</t>
  </si>
  <si>
    <t>e419-918</t>
  </si>
  <si>
    <t>e144-918</t>
  </si>
  <si>
    <t>Rose</t>
  </si>
  <si>
    <t>e217-118</t>
  </si>
  <si>
    <t>Wilson</t>
  </si>
  <si>
    <t>e763-118</t>
  </si>
  <si>
    <t>Laurie</t>
  </si>
  <si>
    <t>Sewell</t>
  </si>
  <si>
    <t>e611-618</t>
  </si>
  <si>
    <t>e315-518</t>
  </si>
  <si>
    <t>Elkins</t>
  </si>
  <si>
    <t>e598-618</t>
  </si>
  <si>
    <t>Evan</t>
  </si>
  <si>
    <t>Lynch</t>
  </si>
  <si>
    <t>e125-818</t>
  </si>
  <si>
    <t>Willoughby</t>
  </si>
  <si>
    <t>e191-518</t>
  </si>
  <si>
    <t>Ryan</t>
  </si>
  <si>
    <t>Johnson</t>
  </si>
  <si>
    <t>e120-918</t>
  </si>
  <si>
    <t>e134-318</t>
  </si>
  <si>
    <t>e982-318</t>
  </si>
  <si>
    <t>Johnston</t>
  </si>
  <si>
    <t>e381-318</t>
  </si>
  <si>
    <t>Clyde</t>
  </si>
  <si>
    <t>Batie</t>
  </si>
  <si>
    <t>e630-318</t>
  </si>
  <si>
    <t>Elsie</t>
  </si>
  <si>
    <t>Gonzales</t>
  </si>
  <si>
    <t>e662-818</t>
  </si>
  <si>
    <t>Nancy</t>
  </si>
  <si>
    <t>Bates</t>
  </si>
  <si>
    <t>e679-218</t>
  </si>
  <si>
    <t>Penny</t>
  </si>
  <si>
    <t>Altman</t>
  </si>
  <si>
    <t>e683-818</t>
  </si>
  <si>
    <t>Sandy</t>
  </si>
  <si>
    <t>Andrews</t>
  </si>
  <si>
    <t>e506-118</t>
  </si>
  <si>
    <t>e569-318</t>
  </si>
  <si>
    <t>Sato</t>
  </si>
  <si>
    <t>e201-518</t>
  </si>
  <si>
    <t>Nygaard</t>
  </si>
  <si>
    <t>e907-318</t>
  </si>
  <si>
    <t>Calvin</t>
  </si>
  <si>
    <t>e183-518</t>
  </si>
  <si>
    <t>Eugene</t>
  </si>
  <si>
    <t>Beach</t>
  </si>
  <si>
    <t>e442-218</t>
  </si>
  <si>
    <t>e367-318</t>
  </si>
  <si>
    <t>Jane</t>
  </si>
  <si>
    <t>Jasso</t>
  </si>
  <si>
    <t>e161-118</t>
  </si>
  <si>
    <t>Christina</t>
  </si>
  <si>
    <t>Pannell</t>
  </si>
  <si>
    <t>e871-718</t>
  </si>
  <si>
    <t>Daly</t>
  </si>
  <si>
    <t>e734-418</t>
  </si>
  <si>
    <t>Higbee</t>
  </si>
  <si>
    <t>e273-118</t>
  </si>
  <si>
    <t>Randolph</t>
  </si>
  <si>
    <t>Price</t>
  </si>
  <si>
    <t>e880-718</t>
  </si>
  <si>
    <t>Loyd</t>
  </si>
  <si>
    <t>e965-618</t>
  </si>
  <si>
    <t>Angela</t>
  </si>
  <si>
    <t>Moss</t>
  </si>
  <si>
    <t>e769-218</t>
  </si>
  <si>
    <t>Jeremy</t>
  </si>
  <si>
    <t>Forbes</t>
  </si>
  <si>
    <t>e329-818</t>
  </si>
  <si>
    <t>Trevor</t>
  </si>
  <si>
    <t>Brownlee</t>
  </si>
  <si>
    <t>e418-118</t>
  </si>
  <si>
    <t>Mcswain</t>
  </si>
  <si>
    <t>e824-218</t>
  </si>
  <si>
    <t>Forrest</t>
  </si>
  <si>
    <t>Whalen</t>
  </si>
  <si>
    <t>e306-318</t>
  </si>
  <si>
    <t>Nicole</t>
  </si>
  <si>
    <t>Kramer</t>
  </si>
  <si>
    <t>e674-618</t>
  </si>
  <si>
    <t>Nobuko</t>
  </si>
  <si>
    <t>Lefebvre</t>
  </si>
  <si>
    <t>e489-318</t>
  </si>
  <si>
    <t>Curtis</t>
  </si>
  <si>
    <t>Hines</t>
  </si>
  <si>
    <t>e736-218</t>
  </si>
  <si>
    <t>Orville</t>
  </si>
  <si>
    <t>Madden</t>
  </si>
  <si>
    <t>e574-218</t>
  </si>
  <si>
    <t>Campbell</t>
  </si>
  <si>
    <t>e250-518</t>
  </si>
  <si>
    <t>Augustine</t>
  </si>
  <si>
    <t>Nguyen</t>
  </si>
  <si>
    <t>e587-918</t>
  </si>
  <si>
    <t>e382-218</t>
  </si>
  <si>
    <t>Joseph</t>
  </si>
  <si>
    <t>Parker</t>
  </si>
  <si>
    <t>e951-618</t>
  </si>
  <si>
    <t>Suzanne</t>
  </si>
  <si>
    <t>Whitaker</t>
  </si>
  <si>
    <t>e383-218</t>
  </si>
  <si>
    <t>Overstreet</t>
  </si>
  <si>
    <t>e771-518</t>
  </si>
  <si>
    <t>Steiner</t>
  </si>
  <si>
    <t>e222-118</t>
  </si>
  <si>
    <t>Nickles</t>
  </si>
  <si>
    <t>e698-118</t>
  </si>
  <si>
    <t>Chester</t>
  </si>
  <si>
    <t>e701-118</t>
  </si>
  <si>
    <t>e539-618</t>
  </si>
  <si>
    <t>Noriega</t>
  </si>
  <si>
    <t>e618-718</t>
  </si>
  <si>
    <t>e760-118</t>
  </si>
  <si>
    <t>e700-118</t>
  </si>
  <si>
    <t>Olga</t>
  </si>
  <si>
    <t>Gibbons</t>
  </si>
  <si>
    <t>e502-418</t>
  </si>
  <si>
    <t>Roberts</t>
  </si>
  <si>
    <t>e784-418</t>
  </si>
  <si>
    <t>Buckley</t>
  </si>
  <si>
    <t>e438-818</t>
  </si>
  <si>
    <t>Eleanor</t>
  </si>
  <si>
    <t>Pena</t>
  </si>
  <si>
    <t>e124-318</t>
  </si>
  <si>
    <t>e838-318</t>
  </si>
  <si>
    <t>e577-119</t>
  </si>
  <si>
    <t>Devon</t>
  </si>
  <si>
    <t>Andersen</t>
  </si>
  <si>
    <t>e375-419</t>
  </si>
  <si>
    <t>Nix</t>
  </si>
  <si>
    <t>e676-919</t>
  </si>
  <si>
    <t>Mindy</t>
  </si>
  <si>
    <t>Rollins</t>
  </si>
  <si>
    <t>e509-819</t>
  </si>
  <si>
    <t>Goebel</t>
  </si>
  <si>
    <t>e413-419</t>
  </si>
  <si>
    <t>Reeder</t>
  </si>
  <si>
    <t>e880-119</t>
  </si>
  <si>
    <t>e239-219</t>
  </si>
  <si>
    <t>e168-419</t>
  </si>
  <si>
    <t>Herbert</t>
  </si>
  <si>
    <t>e816-419</t>
  </si>
  <si>
    <t>Carlos</t>
  </si>
  <si>
    <t>Parris</t>
  </si>
  <si>
    <t>e541-419</t>
  </si>
  <si>
    <t>Derek</t>
  </si>
  <si>
    <t>Davis</t>
  </si>
  <si>
    <t>e424-119</t>
  </si>
  <si>
    <t>Yuonne</t>
  </si>
  <si>
    <t>e357-119</t>
  </si>
  <si>
    <t>Floyd</t>
  </si>
  <si>
    <t>Lilly</t>
  </si>
  <si>
    <t>e535-619</t>
  </si>
  <si>
    <t>Hamada</t>
  </si>
  <si>
    <t>e608-419</t>
  </si>
  <si>
    <t>Jerry</t>
  </si>
  <si>
    <t>e486-519</t>
  </si>
  <si>
    <t>Tyree</t>
  </si>
  <si>
    <t>e584-719</t>
  </si>
  <si>
    <t>Jacks</t>
  </si>
  <si>
    <t>e868-419</t>
  </si>
  <si>
    <t>e734-419</t>
  </si>
  <si>
    <t>Greene</t>
  </si>
  <si>
    <t>e445-519</t>
  </si>
  <si>
    <t>Kerry</t>
  </si>
  <si>
    <t>Rolph</t>
  </si>
  <si>
    <t>e461-519</t>
  </si>
  <si>
    <t>Alex</t>
  </si>
  <si>
    <t>Ragsdale</t>
  </si>
  <si>
    <t>e826-319</t>
  </si>
  <si>
    <t>Cecil</t>
  </si>
  <si>
    <t>Delavega</t>
  </si>
  <si>
    <t>e476-819</t>
  </si>
  <si>
    <t>Riley</t>
  </si>
  <si>
    <t>e485-519</t>
  </si>
  <si>
    <t>e177-219</t>
  </si>
  <si>
    <t>Dade</t>
  </si>
  <si>
    <t>e248-919</t>
  </si>
  <si>
    <t>Williamson</t>
  </si>
  <si>
    <t>e238-519</t>
  </si>
  <si>
    <t>Callahan</t>
  </si>
  <si>
    <t>e339-119</t>
  </si>
  <si>
    <t>Downing</t>
  </si>
  <si>
    <t>e859-819</t>
  </si>
  <si>
    <t>Mcdaniels</t>
  </si>
  <si>
    <t>e920-219</t>
  </si>
  <si>
    <t>Hollie</t>
  </si>
  <si>
    <t>Mcgowan</t>
  </si>
  <si>
    <t>e991-219</t>
  </si>
  <si>
    <t>e474-719</t>
  </si>
  <si>
    <t>e241-819</t>
  </si>
  <si>
    <t>Warf</t>
  </si>
  <si>
    <t>e916-719</t>
  </si>
  <si>
    <t>e534-219</t>
  </si>
  <si>
    <t>Higa</t>
  </si>
  <si>
    <t>e367-119</t>
  </si>
  <si>
    <t>Chad</t>
  </si>
  <si>
    <t>Davenport</t>
  </si>
  <si>
    <t>e802-119</t>
  </si>
  <si>
    <t>Whitlock</t>
  </si>
  <si>
    <t>e590-419</t>
  </si>
  <si>
    <t>Maddox</t>
  </si>
  <si>
    <t>e778-919</t>
  </si>
  <si>
    <t>Castillo</t>
  </si>
  <si>
    <t>e650-919</t>
  </si>
  <si>
    <t>Lee</t>
  </si>
  <si>
    <t>Parrish</t>
  </si>
  <si>
    <t>e276-119</t>
  </si>
  <si>
    <t>Stout</t>
  </si>
  <si>
    <t>e321-819</t>
  </si>
  <si>
    <t>Palacios</t>
  </si>
  <si>
    <t>e213-319</t>
  </si>
  <si>
    <t>Green</t>
  </si>
  <si>
    <t>e431-219</t>
  </si>
  <si>
    <t>e677-219</t>
  </si>
  <si>
    <t>Tora</t>
  </si>
  <si>
    <t>Behne</t>
  </si>
  <si>
    <t>e276-419</t>
  </si>
  <si>
    <t>Dianne</t>
  </si>
  <si>
    <t>Shearer</t>
  </si>
  <si>
    <t>e148-219</t>
  </si>
  <si>
    <t>Prejean</t>
  </si>
  <si>
    <t>e736-719</t>
  </si>
  <si>
    <t>Norman</t>
  </si>
  <si>
    <t>Byers</t>
  </si>
  <si>
    <t>e634-719</t>
  </si>
  <si>
    <t>Tracy</t>
  </si>
  <si>
    <t>Graziano</t>
  </si>
  <si>
    <t>e231-419</t>
  </si>
  <si>
    <t>Juan</t>
  </si>
  <si>
    <t>Grammer</t>
  </si>
  <si>
    <t>e974-119</t>
  </si>
  <si>
    <t>Wiley</t>
  </si>
  <si>
    <t>e148-819</t>
  </si>
  <si>
    <t>Ray</t>
  </si>
  <si>
    <t>e177-919</t>
  </si>
  <si>
    <t>Stephanie</t>
  </si>
  <si>
    <t>Delany</t>
  </si>
  <si>
    <t>e904-119</t>
  </si>
  <si>
    <t>Katie</t>
  </si>
  <si>
    <t>Simmers</t>
  </si>
  <si>
    <t>e317-619</t>
  </si>
  <si>
    <t>Duvall</t>
  </si>
  <si>
    <t>e948-119</t>
  </si>
  <si>
    <t>Lucy</t>
  </si>
  <si>
    <t>Matlock</t>
  </si>
  <si>
    <t>e354-919</t>
  </si>
  <si>
    <t>Krissy</t>
  </si>
  <si>
    <t>Robertson</t>
  </si>
  <si>
    <t>e941-319</t>
  </si>
  <si>
    <t>Mable</t>
  </si>
  <si>
    <t>Santos</t>
  </si>
  <si>
    <t>e959-719</t>
  </si>
  <si>
    <t>Hoffman</t>
  </si>
  <si>
    <t>e213-119</t>
  </si>
  <si>
    <t>Fowlkes</t>
  </si>
  <si>
    <t>e836-419</t>
  </si>
  <si>
    <t>Ila</t>
  </si>
  <si>
    <t>Gaither</t>
  </si>
  <si>
    <t>e223-619</t>
  </si>
  <si>
    <t>Lindsey</t>
  </si>
  <si>
    <t>Murray</t>
  </si>
  <si>
    <t>e688-519</t>
  </si>
  <si>
    <t>Jessie</t>
  </si>
  <si>
    <t>e218-519</t>
  </si>
  <si>
    <t>Irma</t>
  </si>
  <si>
    <t>Keenum</t>
  </si>
  <si>
    <t>e277-919</t>
  </si>
  <si>
    <t>Charlotte</t>
  </si>
  <si>
    <t>Nickerson</t>
  </si>
  <si>
    <t>e849-119</t>
  </si>
  <si>
    <t>Katrina</t>
  </si>
  <si>
    <t>Kimball</t>
  </si>
  <si>
    <t>e887-419</t>
  </si>
  <si>
    <t>e937-719</t>
  </si>
  <si>
    <t>Sara</t>
  </si>
  <si>
    <t>Oates</t>
  </si>
  <si>
    <t>e654-219</t>
  </si>
  <si>
    <t>Jeffrey</t>
  </si>
  <si>
    <t>e770-719</t>
  </si>
  <si>
    <t>Fant</t>
  </si>
  <si>
    <t>e190-419</t>
  </si>
  <si>
    <t>Verlie</t>
  </si>
  <si>
    <t>Yu</t>
  </si>
  <si>
    <t>e591-919</t>
  </si>
  <si>
    <t>Willie</t>
  </si>
  <si>
    <t>e811-919</t>
  </si>
  <si>
    <t>Raymond</t>
  </si>
  <si>
    <t>Barboza</t>
  </si>
  <si>
    <t>e425-319</t>
  </si>
  <si>
    <t>Kent</t>
  </si>
  <si>
    <t>Mercer</t>
  </si>
  <si>
    <t>e611-919</t>
  </si>
  <si>
    <t>Valerie</t>
  </si>
  <si>
    <t>e129-119</t>
  </si>
  <si>
    <t>e667-419</t>
  </si>
  <si>
    <t>Cobb</t>
  </si>
  <si>
    <t>e893-920</t>
  </si>
  <si>
    <t>Beverley</t>
  </si>
  <si>
    <t>Bailey</t>
  </si>
  <si>
    <t>e670-620</t>
  </si>
  <si>
    <t>Parvin</t>
  </si>
  <si>
    <t>e126-620</t>
  </si>
  <si>
    <t>e468-520</t>
  </si>
  <si>
    <t>Cheryl</t>
  </si>
  <si>
    <t>Burnett</t>
  </si>
  <si>
    <t>e303-820</t>
  </si>
  <si>
    <t>Kellum</t>
  </si>
  <si>
    <t>e789-920</t>
  </si>
  <si>
    <t>Ramiro</t>
  </si>
  <si>
    <t>Mcmiller</t>
  </si>
  <si>
    <t>e839-920</t>
  </si>
  <si>
    <t>e145-420</t>
  </si>
  <si>
    <t>e589-320</t>
  </si>
  <si>
    <t>Samuel</t>
  </si>
  <si>
    <t>e849-620</t>
  </si>
  <si>
    <t>Olvera</t>
  </si>
  <si>
    <t>e465-920</t>
  </si>
  <si>
    <t>e401-220</t>
  </si>
  <si>
    <t>e730-820</t>
  </si>
  <si>
    <t>Cooks</t>
  </si>
  <si>
    <t>e681-520</t>
  </si>
  <si>
    <t>Patrick</t>
  </si>
  <si>
    <t>Elwell</t>
  </si>
  <si>
    <t>e502-320</t>
  </si>
  <si>
    <t>Alicia</t>
  </si>
  <si>
    <t>Tinkham</t>
  </si>
  <si>
    <t>e457-320</t>
  </si>
  <si>
    <t>Anthony</t>
  </si>
  <si>
    <t>Tesch</t>
  </si>
  <si>
    <t>e246-320</t>
  </si>
  <si>
    <t>Virginia</t>
  </si>
  <si>
    <t>Corson</t>
  </si>
  <si>
    <t>Rizzo</t>
  </si>
  <si>
    <t>e607-120</t>
  </si>
  <si>
    <t>e248-920</t>
  </si>
  <si>
    <t>Carol</t>
  </si>
  <si>
    <t>Ross</t>
  </si>
  <si>
    <t>e486-520</t>
  </si>
  <si>
    <t>Gary</t>
  </si>
  <si>
    <t>Hilliard</t>
  </si>
  <si>
    <t>e392-320</t>
  </si>
  <si>
    <t>Weyand</t>
  </si>
  <si>
    <t>e188-520</t>
  </si>
  <si>
    <t>Carrie</t>
  </si>
  <si>
    <t>Cabot</t>
  </si>
  <si>
    <t>e261-720</t>
  </si>
  <si>
    <t>e965-920</t>
  </si>
  <si>
    <t>Francisca</t>
  </si>
  <si>
    <t>Didonato</t>
  </si>
  <si>
    <t>e310-620</t>
  </si>
  <si>
    <t>Vanessa</t>
  </si>
  <si>
    <t>e677-120</t>
  </si>
  <si>
    <t>Josie</t>
  </si>
  <si>
    <t>Lucero</t>
  </si>
  <si>
    <t>e267-720</t>
  </si>
  <si>
    <t>Manuel</t>
  </si>
  <si>
    <t>Goodell</t>
  </si>
  <si>
    <t>e925-420</t>
  </si>
  <si>
    <t>Mosley</t>
  </si>
  <si>
    <t>e559-920</t>
  </si>
  <si>
    <t>Ida</t>
  </si>
  <si>
    <t>Gertz</t>
  </si>
  <si>
    <t>e237-520</t>
  </si>
  <si>
    <t>Mildred</t>
  </si>
  <si>
    <t>Blalock</t>
  </si>
  <si>
    <t>e607-620</t>
  </si>
  <si>
    <t>e235-520</t>
  </si>
  <si>
    <t>Sandra</t>
  </si>
  <si>
    <t>Curley</t>
  </si>
  <si>
    <t>e586-920</t>
  </si>
  <si>
    <t>Erik</t>
  </si>
  <si>
    <t>Prettyman</t>
  </si>
  <si>
    <t>e438-720</t>
  </si>
  <si>
    <t>Angeline</t>
  </si>
  <si>
    <t>Glover</t>
  </si>
  <si>
    <t>e298-820</t>
  </si>
  <si>
    <t>Beverly</t>
  </si>
  <si>
    <t>Boone</t>
  </si>
  <si>
    <t>e249-420</t>
  </si>
  <si>
    <t>Singletary</t>
  </si>
  <si>
    <t>e232-620</t>
  </si>
  <si>
    <t>Merchant</t>
  </si>
  <si>
    <t>e264-820</t>
  </si>
  <si>
    <t>Mcnabb</t>
  </si>
  <si>
    <t>e759-720</t>
  </si>
  <si>
    <t>Laura</t>
  </si>
  <si>
    <t>Garrison</t>
  </si>
  <si>
    <t>e566-220</t>
  </si>
  <si>
    <t>Otto</t>
  </si>
  <si>
    <t>Matthews</t>
  </si>
  <si>
    <t>e325-220</t>
  </si>
  <si>
    <t>Irene</t>
  </si>
  <si>
    <t>e907-320</t>
  </si>
  <si>
    <t>e590-220</t>
  </si>
  <si>
    <t>Jeff</t>
  </si>
  <si>
    <t>Jagger</t>
  </si>
  <si>
    <t>e670-920</t>
  </si>
  <si>
    <t>Saul</t>
  </si>
  <si>
    <t>Wann</t>
  </si>
  <si>
    <t>e238-920</t>
  </si>
  <si>
    <t>Santiago</t>
  </si>
  <si>
    <t>e684-220</t>
  </si>
  <si>
    <t>Shay</t>
  </si>
  <si>
    <t>e365-220</t>
  </si>
  <si>
    <t>Lorraine</t>
  </si>
  <si>
    <t>Chang</t>
  </si>
  <si>
    <t>e800-420</t>
  </si>
  <si>
    <t>Gilbert</t>
  </si>
  <si>
    <t>e395-620</t>
  </si>
  <si>
    <t>Drew</t>
  </si>
  <si>
    <t>Duran</t>
  </si>
  <si>
    <t>e638-420</t>
  </si>
  <si>
    <t>e400-620</t>
  </si>
  <si>
    <t>Bello</t>
  </si>
  <si>
    <t>e824-720</t>
  </si>
  <si>
    <t>Gerhardt</t>
  </si>
  <si>
    <t>e902-520</t>
  </si>
  <si>
    <t>Duane</t>
  </si>
  <si>
    <t>Best</t>
  </si>
  <si>
    <t>e777-820</t>
  </si>
  <si>
    <t>Stanfill</t>
  </si>
  <si>
    <t>e119-520</t>
  </si>
  <si>
    <t>e483-420</t>
  </si>
  <si>
    <t>Murphy</t>
  </si>
  <si>
    <t>e392-420</t>
  </si>
  <si>
    <t>Knight</t>
  </si>
  <si>
    <t>e869-820</t>
  </si>
  <si>
    <t>Roudebush</t>
  </si>
  <si>
    <t>e118-120</t>
  </si>
  <si>
    <t>Holst</t>
  </si>
  <si>
    <t>e730-320</t>
  </si>
  <si>
    <t>Jim</t>
  </si>
  <si>
    <t>Mcpherson</t>
  </si>
  <si>
    <t>e274-220</t>
  </si>
  <si>
    <t>e339-420</t>
  </si>
  <si>
    <t>Head</t>
  </si>
  <si>
    <t>e741-520</t>
  </si>
  <si>
    <t>Stuart</t>
  </si>
  <si>
    <t>Burns</t>
  </si>
  <si>
    <t>e280-120</t>
  </si>
  <si>
    <t>Kayla</t>
  </si>
  <si>
    <t>Carmichael</t>
  </si>
  <si>
    <t>e332-720</t>
  </si>
  <si>
    <t>Tallman</t>
  </si>
  <si>
    <t>e259-620</t>
  </si>
  <si>
    <t>Elmer</t>
  </si>
  <si>
    <t>Hicks</t>
  </si>
  <si>
    <t>e130-720</t>
  </si>
  <si>
    <t>Hendricks</t>
  </si>
  <si>
    <t>e286-420</t>
  </si>
  <si>
    <t>Viola</t>
  </si>
  <si>
    <t>Hayes</t>
  </si>
  <si>
    <t>e306-820</t>
  </si>
  <si>
    <t>Gariepy</t>
  </si>
  <si>
    <t>e664-420</t>
  </si>
  <si>
    <t>Mayra</t>
  </si>
  <si>
    <t>e132-620</t>
  </si>
  <si>
    <t>Bodnar</t>
  </si>
  <si>
    <t>e704-920</t>
  </si>
  <si>
    <t>Munoz</t>
  </si>
  <si>
    <t>e307-920</t>
  </si>
  <si>
    <t>Dolly</t>
  </si>
  <si>
    <t>Summers</t>
  </si>
  <si>
    <t>e503-820</t>
  </si>
  <si>
    <t>Black</t>
  </si>
  <si>
    <t>e187-620</t>
  </si>
  <si>
    <t>Erma</t>
  </si>
  <si>
    <t>Vargas</t>
  </si>
  <si>
    <t>e520-720</t>
  </si>
  <si>
    <t>e790-420</t>
  </si>
  <si>
    <t>Maureen</t>
  </si>
  <si>
    <t>e987-420</t>
  </si>
  <si>
    <t>Kathryn</t>
  </si>
  <si>
    <t>Espinosa</t>
  </si>
  <si>
    <t>e177-720</t>
  </si>
  <si>
    <t>Sullivan</t>
  </si>
  <si>
    <t>e145-120</t>
  </si>
  <si>
    <t>Wendy</t>
  </si>
  <si>
    <t>Schell</t>
  </si>
  <si>
    <t>e976-920</t>
  </si>
  <si>
    <t>e304-620</t>
  </si>
  <si>
    <t>Campos</t>
  </si>
  <si>
    <t>e814-320</t>
  </si>
  <si>
    <t>e202-320</t>
  </si>
  <si>
    <t>Whitton</t>
  </si>
  <si>
    <t>e621-820</t>
  </si>
  <si>
    <t>Lola</t>
  </si>
  <si>
    <t>Hyatt</t>
  </si>
  <si>
    <t>e169-120</t>
  </si>
  <si>
    <t>Julia</t>
  </si>
  <si>
    <t>Mckenzie</t>
  </si>
  <si>
    <t>e461-820</t>
  </si>
  <si>
    <t>e591-220</t>
  </si>
  <si>
    <t>Cruz</t>
  </si>
  <si>
    <t>e901-620</t>
  </si>
  <si>
    <t>e136-520</t>
  </si>
  <si>
    <t>Priscilla</t>
  </si>
  <si>
    <t>Faucett</t>
  </si>
  <si>
    <t>e971-320</t>
  </si>
  <si>
    <t>e557-520</t>
  </si>
  <si>
    <t>Greco</t>
  </si>
  <si>
    <t>e297-620</t>
  </si>
  <si>
    <t>Scroggins</t>
  </si>
  <si>
    <t>e576-320</t>
  </si>
  <si>
    <t>Dennis</t>
  </si>
  <si>
    <t>e365-320</t>
  </si>
  <si>
    <t>Hughley</t>
  </si>
  <si>
    <t>e551-220</t>
  </si>
  <si>
    <t>Ramos</t>
  </si>
  <si>
    <t>e485-320</t>
  </si>
  <si>
    <t>Fontenot</t>
  </si>
  <si>
    <t>e211-320</t>
  </si>
  <si>
    <t>Elvia</t>
  </si>
  <si>
    <t>Hale</t>
  </si>
  <si>
    <t>e494-620</t>
  </si>
  <si>
    <t>Heather</t>
  </si>
  <si>
    <t>Burks</t>
  </si>
  <si>
    <t>e598-220</t>
  </si>
  <si>
    <t>Rhoda</t>
  </si>
  <si>
    <t>Stokes</t>
  </si>
  <si>
    <t>e968-920</t>
  </si>
  <si>
    <t>e743-320</t>
  </si>
  <si>
    <t>Steven</t>
  </si>
  <si>
    <t>e177-620</t>
  </si>
  <si>
    <t>Raul</t>
  </si>
  <si>
    <t>e984-820</t>
  </si>
  <si>
    <t>e248-120</t>
  </si>
  <si>
    <t>Neville</t>
  </si>
  <si>
    <t>Horn</t>
  </si>
  <si>
    <t>e961-820</t>
  </si>
  <si>
    <t>e758-520</t>
  </si>
  <si>
    <t>Wesley</t>
  </si>
  <si>
    <t>Rosier</t>
  </si>
  <si>
    <t>e984-620</t>
  </si>
  <si>
    <t>Marion</t>
  </si>
  <si>
    <t>e717-520</t>
  </si>
  <si>
    <t>Anabel</t>
  </si>
  <si>
    <t>Vessels</t>
  </si>
  <si>
    <t>e702-720</t>
  </si>
  <si>
    <t>Marcy</t>
  </si>
  <si>
    <t>Hill</t>
  </si>
  <si>
    <t>Whitted</t>
  </si>
  <si>
    <t>e930-320</t>
  </si>
  <si>
    <t>Garrett</t>
  </si>
  <si>
    <t>e792-120</t>
  </si>
  <si>
    <t>Fernandez</t>
  </si>
  <si>
    <t>e443-620</t>
  </si>
  <si>
    <t>Cheyenne</t>
  </si>
  <si>
    <t>e848-120</t>
  </si>
  <si>
    <t>DEPT</t>
  </si>
  <si>
    <t>FIRST</t>
  </si>
  <si>
    <t>LAST</t>
  </si>
  <si>
    <t>HIRE DATE</t>
  </si>
  <si>
    <t>OFFICE</t>
  </si>
  <si>
    <t>STATE</t>
  </si>
  <si>
    <t>BONUS</t>
  </si>
  <si>
    <t>COMMISSION</t>
  </si>
  <si>
    <t>PERSONAL DAYS</t>
  </si>
  <si>
    <t>SICK DAYS</t>
  </si>
  <si>
    <t>EVAL SCORE</t>
  </si>
  <si>
    <t>Jacek</t>
  </si>
  <si>
    <t>Baros</t>
  </si>
  <si>
    <t>Melendez</t>
  </si>
  <si>
    <t>e824-820</t>
  </si>
  <si>
    <t>e626-517</t>
  </si>
  <si>
    <t>BASE SALARY</t>
  </si>
  <si>
    <t>Date of employee hire</t>
  </si>
  <si>
    <t>FIELD</t>
  </si>
  <si>
    <t>DESCRIPTION</t>
  </si>
  <si>
    <t>DATA TYPE</t>
  </si>
  <si>
    <t>NOTES</t>
  </si>
  <si>
    <t>text</t>
  </si>
  <si>
    <t>Employee first name</t>
  </si>
  <si>
    <t>Employee last name</t>
  </si>
  <si>
    <t>Employee department</t>
  </si>
  <si>
    <t>date</t>
  </si>
  <si>
    <t>Employee ID number (unique)</t>
  </si>
  <si>
    <t>Location of the employee office</t>
  </si>
  <si>
    <t>Employee office state</t>
  </si>
  <si>
    <t>Employee base salary</t>
  </si>
  <si>
    <t>number</t>
  </si>
  <si>
    <t>Data Definitions</t>
  </si>
  <si>
    <t>Cho</t>
  </si>
  <si>
    <t>Miguel</t>
  </si>
  <si>
    <t>e696-317</t>
  </si>
  <si>
    <t>Boston, Chicago, Dallas, Denver, or San Francisco</t>
  </si>
  <si>
    <t>Accounting, Administration, Customer Support, Human Resources, Finance, Marketing, IT, R&amp;D, or Sales</t>
  </si>
  <si>
    <t>The number of days taken by the employee for personal days</t>
  </si>
  <si>
    <t>Rachel</t>
  </si>
  <si>
    <t>e696-417</t>
  </si>
  <si>
    <t>e937-619</t>
  </si>
  <si>
    <t>Saint John</t>
  </si>
  <si>
    <t>Chan</t>
  </si>
  <si>
    <t>Jose</t>
  </si>
  <si>
    <t>Padron</t>
  </si>
  <si>
    <t>Alberts</t>
  </si>
  <si>
    <t>Timko</t>
  </si>
  <si>
    <t>Wanda</t>
  </si>
  <si>
    <t>Coleman</t>
  </si>
  <si>
    <t>Ferdinand</t>
  </si>
  <si>
    <t>Chaney</t>
  </si>
  <si>
    <t>Heilman</t>
  </si>
  <si>
    <t>Germaine</t>
  </si>
  <si>
    <t>Stricklin</t>
  </si>
  <si>
    <t>Headley</t>
  </si>
  <si>
    <t>Javier</t>
  </si>
  <si>
    <t>Latham</t>
  </si>
  <si>
    <t>Aurelia</t>
  </si>
  <si>
    <t>Etzel</t>
  </si>
  <si>
    <t>Oconnell</t>
  </si>
  <si>
    <t>Rood</t>
  </si>
  <si>
    <t>Avent</t>
  </si>
  <si>
    <t>Rodolfo</t>
  </si>
  <si>
    <t>Della</t>
  </si>
  <si>
    <t>Kreger</t>
  </si>
  <si>
    <t>Tammy</t>
  </si>
  <si>
    <t>Wallace</t>
  </si>
  <si>
    <t>Morgan</t>
  </si>
  <si>
    <t>Anastasia</t>
  </si>
  <si>
    <t>Yawn</t>
  </si>
  <si>
    <t>Linda</t>
  </si>
  <si>
    <t>Lloyd</t>
  </si>
  <si>
    <t>Pasquale</t>
  </si>
  <si>
    <t>Adair</t>
  </si>
  <si>
    <t>Orta</t>
  </si>
  <si>
    <t>Scanlon</t>
  </si>
  <si>
    <t>Pelayo</t>
  </si>
  <si>
    <t>Marsha</t>
  </si>
  <si>
    <t>Marshall</t>
  </si>
  <si>
    <t>Tyler</t>
  </si>
  <si>
    <t>Deford</t>
  </si>
  <si>
    <t>Nikia</t>
  </si>
  <si>
    <t>e575-316</t>
  </si>
  <si>
    <t>Carmen</t>
  </si>
  <si>
    <t>Casares</t>
  </si>
  <si>
    <t>e157-517</t>
  </si>
  <si>
    <t>e228-520</t>
  </si>
  <si>
    <t>Antonio</t>
  </si>
  <si>
    <t>Verdejo</t>
  </si>
  <si>
    <t>Tang</t>
  </si>
  <si>
    <t>McLaughlin</t>
  </si>
  <si>
    <t>Jamila</t>
  </si>
  <si>
    <t>Ganeem</t>
  </si>
  <si>
    <t>Will</t>
  </si>
  <si>
    <t>Lila</t>
  </si>
  <si>
    <t>Qureshi</t>
  </si>
  <si>
    <t>An</t>
  </si>
  <si>
    <t>Jwa</t>
  </si>
  <si>
    <t>ID is written in format "e###-###"</t>
  </si>
  <si>
    <t>Do not include middle initials</t>
  </si>
  <si>
    <t>Use currency format; do not include bonuses or commission fees</t>
  </si>
  <si>
    <t>Use two-letter abbreviation in capital letters (MA, IL, TX, CO, or CA)</t>
  </si>
  <si>
    <t>Use the date format mm/dd/yyyy</t>
  </si>
  <si>
    <t>Calculated Fields</t>
  </si>
  <si>
    <t>FULL NAME</t>
  </si>
  <si>
    <t>Employee first and last name</t>
  </si>
  <si>
    <t>Calculate by combining the FIRST and LAST field separated by a single space</t>
  </si>
  <si>
    <t>Year of employee hire</t>
  </si>
  <si>
    <t>Calculate by adding the BASE SALARY, BONUS, and COMMISSION fields</t>
  </si>
  <si>
    <t>HIRE YEAR</t>
  </si>
  <si>
    <t>Employee end-of-year bonus</t>
  </si>
  <si>
    <t>WAGES</t>
  </si>
  <si>
    <t>Total employee wage compensation</t>
  </si>
  <si>
    <t>Employee List</t>
  </si>
  <si>
    <t>Calculate by extracting the year value from the HIRE DATE field</t>
  </si>
  <si>
    <t>Days excused from work with pay</t>
  </si>
  <si>
    <t>Year-end employee evaluation</t>
  </si>
  <si>
    <t>Evaluation scores range from 1 (poor) to 5 (excellent)</t>
  </si>
  <si>
    <t xml:space="preserve">To analyze and report on employment data for the Human Resources department at Orthographic </t>
  </si>
  <si>
    <t>Total Wages</t>
  </si>
  <si>
    <t>Average Wage</t>
  </si>
  <si>
    <t>Minimum Wage</t>
  </si>
  <si>
    <t>Maximum Wage</t>
  </si>
  <si>
    <t>Use currency format; do not include base salary or commission fees</t>
  </si>
  <si>
    <t>Use currency format; do not include base salary or bonuses</t>
  </si>
  <si>
    <t>Wages</t>
  </si>
  <si>
    <t>Employee commission fee</t>
  </si>
  <si>
    <t>Sick days with pay</t>
  </si>
  <si>
    <t>The number of days in which the employee received sick-day benefits</t>
  </si>
  <si>
    <t>George Koufie</t>
  </si>
  <si>
    <t>e157-617</t>
  </si>
  <si>
    <t>Total</t>
  </si>
  <si>
    <t>e901-920</t>
  </si>
  <si>
    <t>Karl</t>
  </si>
  <si>
    <t>Ruiz</t>
  </si>
  <si>
    <t>Full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</si>
</sst>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
  </numFmts>
  <fonts count="11" x14ac:knownFonts="1">
    <font>
      <sz val="11"/>
      <color theme="1"/>
      <name val="Calibri"/>
      <family val="2"/>
      <scheme val="minor"/>
    </font>
    <font>
      <sz val="11"/>
      <color theme="1"/>
      <name val="Calibri"/>
      <family val="2"/>
      <scheme val="minor"/>
    </font>
    <font>
      <b/>
      <sz val="13"/>
      <color theme="3"/>
      <name val="Calibri"/>
      <family val="2"/>
      <scheme val="minor"/>
    </font>
    <font>
      <b/>
      <sz val="11"/>
      <color theme="0"/>
      <name val="Calibri"/>
      <family val="2"/>
      <scheme val="minor"/>
    </font>
    <font>
      <i/>
      <sz val="11"/>
      <color rgb="FF7F7F7F"/>
      <name val="Calibri"/>
      <family val="2"/>
      <scheme val="minor"/>
    </font>
    <font>
      <sz val="28"/>
      <color theme="7" tint="-0.249977111117893"/>
      <name val="Rockwell Condensed"/>
      <family val="1"/>
    </font>
    <font>
      <sz val="11"/>
      <color theme="0" tint="-4.9989318521683403E-2"/>
      <name val="Calibri"/>
      <family val="2"/>
      <scheme val="minor"/>
    </font>
    <font>
      <sz val="11"/>
      <color theme="7" tint="-0.249977111117893"/>
      <name val="Calibri"/>
      <family val="2"/>
      <scheme val="minor"/>
    </font>
    <font>
      <b/>
      <sz val="14"/>
      <color theme="7" tint="-0.249977111117893"/>
      <name val="Calibri"/>
      <family val="2"/>
      <scheme val="minor"/>
    </font>
    <font>
      <sz val="11"/>
      <name val="Calibri"/>
      <family val="2"/>
      <scheme val="minor"/>
    </font>
    <font>
      <sz val="11"/>
      <color rgb="FF7F7F7F"/>
      <name val="Calibri"/>
      <family val="2"/>
      <scheme val="minor"/>
    </font>
  </fonts>
  <fills count="7">
    <fill>
      <patternFill patternType="none"/>
    </fill>
    <fill>
      <patternFill patternType="gray125"/>
    </fill>
    <fill>
      <patternFill patternType="solid">
        <fgColor theme="7"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249977111117893"/>
        <bgColor theme="8"/>
      </patternFill>
    </fill>
    <fill>
      <patternFill patternType="solid">
        <fgColor theme="7" tint="0.39997558519241921"/>
        <bgColor theme="8"/>
      </patternFill>
    </fill>
  </fills>
  <borders count="6">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theme="8"/>
      </left>
      <right style="thin">
        <color theme="8"/>
      </right>
      <top style="thin">
        <color theme="8"/>
      </top>
      <bottom style="thin">
        <color theme="8"/>
      </bottom>
      <diagonal/>
    </border>
    <border>
      <left style="thin">
        <color theme="8" tint="0.39997558519241921"/>
      </left>
      <right/>
      <top/>
      <bottom/>
      <diagonal/>
    </border>
    <border>
      <left style="thin">
        <color theme="8" tint="0.39997558519241921"/>
      </left>
      <right style="thin">
        <color theme="8" tint="0.39997558519241921"/>
      </right>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1" applyNumberFormat="0" applyFill="0" applyAlignment="0" applyProtection="0"/>
    <xf numFmtId="0" fontId="4" fillId="0" borderId="0" applyNumberFormat="0" applyFill="0" applyBorder="0" applyAlignment="0" applyProtection="0"/>
  </cellStyleXfs>
  <cellXfs count="27">
    <xf numFmtId="0" fontId="0" fillId="0" borderId="0" xfId="0"/>
    <xf numFmtId="0" fontId="5" fillId="0" borderId="0" xfId="0" applyFont="1"/>
    <xf numFmtId="0" fontId="6" fillId="2" borderId="2" xfId="0" applyFont="1" applyFill="1" applyBorder="1" applyAlignment="1">
      <alignment horizontal="left" vertical="top" wrapText="1"/>
    </xf>
    <xf numFmtId="0" fontId="7" fillId="3" borderId="2" xfId="0" applyFont="1" applyFill="1" applyBorder="1" applyAlignment="1">
      <alignment horizontal="left" vertical="top" wrapText="1" indent="1"/>
    </xf>
    <xf numFmtId="14" fontId="7" fillId="3" borderId="2" xfId="0" applyNumberFormat="1" applyFont="1" applyFill="1" applyBorder="1" applyAlignment="1">
      <alignment horizontal="left" vertical="top" wrapText="1" indent="1"/>
    </xf>
    <xf numFmtId="0" fontId="8" fillId="0" borderId="0" xfId="0" applyFont="1"/>
    <xf numFmtId="0" fontId="6" fillId="2" borderId="2" xfId="0" applyFont="1" applyFill="1" applyBorder="1"/>
    <xf numFmtId="0" fontId="7" fillId="3" borderId="2" xfId="0" applyFont="1" applyFill="1" applyBorder="1" applyAlignment="1">
      <alignment horizontal="left" indent="2"/>
    </xf>
    <xf numFmtId="0" fontId="7" fillId="4" borderId="2" xfId="0" applyFont="1" applyFill="1" applyBorder="1" applyAlignment="1">
      <alignment horizontal="left" indent="2"/>
    </xf>
    <xf numFmtId="164" fontId="7" fillId="3" borderId="2" xfId="0" applyNumberFormat="1" applyFont="1" applyFill="1" applyBorder="1" applyAlignment="1">
      <alignment horizontal="left" indent="2"/>
    </xf>
    <xf numFmtId="164" fontId="7" fillId="3" borderId="2" xfId="2" applyNumberFormat="1" applyFont="1" applyFill="1" applyBorder="1" applyAlignment="1">
      <alignment horizontal="left" indent="2"/>
    </xf>
    <xf numFmtId="0" fontId="0" fillId="0" borderId="0" xfId="0" applyFont="1" applyFill="1" applyBorder="1"/>
    <xf numFmtId="164" fontId="0" fillId="0" borderId="0" xfId="1" applyNumberFormat="1" applyFont="1" applyFill="1" applyBorder="1"/>
    <xf numFmtId="164" fontId="0" fillId="0" borderId="0" xfId="0" applyNumberFormat="1" applyFont="1" applyFill="1" applyBorder="1"/>
    <xf numFmtId="14" fontId="0" fillId="0" borderId="0" xfId="0" applyNumberFormat="1" applyFont="1" applyFill="1" applyBorder="1" applyAlignment="1">
      <alignment horizontal="left"/>
    </xf>
    <xf numFmtId="0" fontId="3" fillId="2" borderId="3" xfId="0" applyFont="1" applyFill="1" applyBorder="1" applyAlignment="1">
      <alignment horizontal="center"/>
    </xf>
    <xf numFmtId="0" fontId="4" fillId="0" borderId="3" xfId="4" applyBorder="1" applyAlignment="1">
      <alignment horizontal="left" vertical="top" wrapText="1"/>
    </xf>
    <xf numFmtId="0" fontId="9" fillId="6" borderId="3" xfId="0" applyFont="1" applyFill="1" applyBorder="1" applyAlignment="1">
      <alignment horizontal="left" vertical="top" indent="1"/>
    </xf>
    <xf numFmtId="0" fontId="10" fillId="0" borderId="3" xfId="4" applyFont="1" applyBorder="1" applyAlignment="1">
      <alignment horizontal="left" vertical="top" wrapText="1" indent="1"/>
    </xf>
    <xf numFmtId="0" fontId="3" fillId="5" borderId="4" xfId="0" applyFont="1" applyFill="1" applyBorder="1" applyAlignment="1">
      <alignment horizontal="center"/>
    </xf>
    <xf numFmtId="0" fontId="3" fillId="5" borderId="0" xfId="0" applyFont="1" applyFill="1" applyBorder="1" applyAlignment="1">
      <alignment horizontal="center"/>
    </xf>
    <xf numFmtId="0" fontId="3" fillId="5" borderId="5" xfId="0" applyFont="1" applyFill="1" applyBorder="1" applyAlignment="1">
      <alignment horizontal="center"/>
    </xf>
    <xf numFmtId="0" fontId="0" fillId="0" borderId="0" xfId="0" applyFont="1" applyFill="1"/>
    <xf numFmtId="0" fontId="0" fillId="0" borderId="0" xfId="0" applyFont="1" applyFill="1" applyAlignment="1">
      <alignment horizontal="left"/>
    </xf>
    <xf numFmtId="164" fontId="0" fillId="0" borderId="0" xfId="0" applyNumberFormat="1" applyFont="1" applyFill="1"/>
    <xf numFmtId="0" fontId="0" fillId="0" borderId="0" xfId="0" applyNumberFormat="1" applyFont="1" applyFill="1" applyBorder="1" applyAlignment="1">
      <alignment horizontal="left"/>
    </xf>
    <xf numFmtId="0" fontId="2" fillId="0" borderId="1" xfId="3" applyAlignment="1">
      <alignment horizontal="center"/>
    </xf>
  </cellXfs>
  <cellStyles count="5">
    <cellStyle name="Comma" xfId="1" builtinId="3"/>
    <cellStyle name="Currency" xfId="2" builtinId="4"/>
    <cellStyle name="Explanatory Text" xfId="4" builtinId="53"/>
    <cellStyle name="Heading 2" xfId="3" builtinId="17"/>
    <cellStyle name="Normal" xfId="0" builtinId="0"/>
  </cellStyles>
  <dxfs count="35">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9" formatCode="m/d/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border outline="0">
        <top style="thin">
          <color theme="8" tint="0.39997558519241921"/>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solid">
          <fgColor theme="8"/>
          <bgColor theme="7" tint="-0.2499771111178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4FDD65DE-49CF-4AE8-A21F-8674B7E2F0F2}">
          <cx:dataLabels>
            <cx:visibility seriesName="0" categoryName="0" value="1"/>
          </cx:dataLabels>
          <cx:dataId val="0"/>
          <cx:layoutPr>
            <cx:binning intervalClosed="r" underflow="40000" overflow="100000">
              <cx:binSize val="10000"/>
            </cx:binning>
          </cx:layoutPr>
        </cx:series>
      </cx:plotAreaRegion>
      <cx:axis id="0">
        <cx:catScaling gapWidth="0"/>
        <cx:tickLabels/>
        <cx:txPr>
          <a:bodyPr spcFirstLastPara="1" vertOverflow="ellipsis" horzOverflow="overflow" wrap="square" lIns="0" tIns="0" rIns="0" bIns="0" anchor="ctr" anchorCtr="1"/>
          <a:lstStyle/>
          <a:p>
            <a:pPr algn="ctr" rtl="0">
              <a:defRPr sz="800"/>
            </a:pPr>
            <a:endParaRPr lang="en-US" sz="800" b="0" i="0" u="none" strike="noStrike" baseline="0">
              <a:solidFill>
                <a:sysClr val="windowText" lastClr="000000">
                  <a:lumMod val="65000"/>
                  <a:lumOff val="35000"/>
                </a:sysClr>
              </a:solidFill>
              <a:latin typeface="Calibri" panose="020F0502020204030204"/>
            </a:endParaRPr>
          </a:p>
        </cx:txPr>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3</xdr:row>
      <xdr:rowOff>0</xdr:rowOff>
    </xdr:from>
    <xdr:to>
      <xdr:col>2</xdr:col>
      <xdr:colOff>0</xdr:colOff>
      <xdr:row>9</xdr:row>
      <xdr:rowOff>0</xdr:rowOff>
    </xdr:to>
    <mc:AlternateContent xmlns:mc="http://schemas.openxmlformats.org/markup-compatibility/2006" xmlns:sle15="http://schemas.microsoft.com/office/drawing/2012/slicer">
      <mc:Choice Requires="sle15">
        <xdr:graphicFrame macro="">
          <xdr:nvGraphicFramePr>
            <xdr:cNvPr id="2" name="HIRE YEAR">
              <a:extLst>
                <a:ext uri="{FF2B5EF4-FFF2-40B4-BE49-F238E27FC236}">
                  <a16:creationId xmlns:a16="http://schemas.microsoft.com/office/drawing/2014/main" id="{7265EA21-935E-4CBF-AF05-1C2F21D6457F}"/>
                </a:ext>
              </a:extLst>
            </xdr:cNvPr>
            <xdr:cNvGraphicFramePr/>
          </xdr:nvGraphicFramePr>
          <xdr:xfrm>
            <a:off x="0" y="0"/>
            <a:ext cx="0" cy="0"/>
          </xdr:xfrm>
          <a:graphic>
            <a:graphicData uri="http://schemas.microsoft.com/office/drawing/2010/slicer">
              <sle:slicer xmlns:sle="http://schemas.microsoft.com/office/drawing/2010/slicer" name="HIRE YEAR"/>
            </a:graphicData>
          </a:graphic>
        </xdr:graphicFrame>
      </mc:Choice>
      <mc:Fallback xmlns="">
        <xdr:sp macro="" textlink="">
          <xdr:nvSpPr>
            <xdr:cNvPr id="0" name=""/>
            <xdr:cNvSpPr>
              <a:spLocks noTextEdit="1"/>
            </xdr:cNvSpPr>
          </xdr:nvSpPr>
          <xdr:spPr>
            <a:xfrm>
              <a:off x="134938" y="873125"/>
              <a:ext cx="2722562" cy="1143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0</xdr:colOff>
      <xdr:row>10</xdr:row>
      <xdr:rowOff>1</xdr:rowOff>
    </xdr:from>
    <xdr:to>
      <xdr:col>2</xdr:col>
      <xdr:colOff>0</xdr:colOff>
      <xdr:row>15</xdr:row>
      <xdr:rowOff>1</xdr:rowOff>
    </xdr:to>
    <mc:AlternateContent xmlns:mc="http://schemas.openxmlformats.org/markup-compatibility/2006" xmlns:sle15="http://schemas.microsoft.com/office/drawing/2012/slicer">
      <mc:Choice Requires="sle15">
        <xdr:graphicFrame macro="">
          <xdr:nvGraphicFramePr>
            <xdr:cNvPr id="3" name="OFFICE">
              <a:extLst>
                <a:ext uri="{FF2B5EF4-FFF2-40B4-BE49-F238E27FC236}">
                  <a16:creationId xmlns:a16="http://schemas.microsoft.com/office/drawing/2014/main" id="{6CF9E5A3-3D8A-44C2-868B-9FB7C9975504}"/>
                </a:ext>
              </a:extLst>
            </xdr:cNvPr>
            <xdr:cNvGraphicFramePr/>
          </xdr:nvGraphicFramePr>
          <xdr:xfrm>
            <a:off x="0" y="0"/>
            <a:ext cx="0" cy="0"/>
          </xdr:xfrm>
          <a:graphic>
            <a:graphicData uri="http://schemas.microsoft.com/office/drawing/2010/slicer">
              <sle:slicer xmlns:sle="http://schemas.microsoft.com/office/drawing/2010/slicer" name="OFFICE"/>
            </a:graphicData>
          </a:graphic>
        </xdr:graphicFrame>
      </mc:Choice>
      <mc:Fallback xmlns="">
        <xdr:sp macro="" textlink="">
          <xdr:nvSpPr>
            <xdr:cNvPr id="0" name=""/>
            <xdr:cNvSpPr>
              <a:spLocks noTextEdit="1"/>
            </xdr:cNvSpPr>
          </xdr:nvSpPr>
          <xdr:spPr>
            <a:xfrm>
              <a:off x="134938" y="2206626"/>
              <a:ext cx="2722562" cy="952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0</xdr:colOff>
      <xdr:row>16</xdr:row>
      <xdr:rowOff>0</xdr:rowOff>
    </xdr:from>
    <xdr:to>
      <xdr:col>2</xdr:col>
      <xdr:colOff>0</xdr:colOff>
      <xdr:row>25</xdr:row>
      <xdr:rowOff>0</xdr:rowOff>
    </xdr:to>
    <mc:AlternateContent xmlns:mc="http://schemas.openxmlformats.org/markup-compatibility/2006" xmlns:sle15="http://schemas.microsoft.com/office/drawing/2012/slicer">
      <mc:Choice Requires="sle15">
        <xdr:graphicFrame macro="">
          <xdr:nvGraphicFramePr>
            <xdr:cNvPr id="4" name="DEPT">
              <a:extLst>
                <a:ext uri="{FF2B5EF4-FFF2-40B4-BE49-F238E27FC236}">
                  <a16:creationId xmlns:a16="http://schemas.microsoft.com/office/drawing/2014/main" id="{B096C75F-D7BF-42C0-8C11-8C45A7DF0678}"/>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mlns="">
        <xdr:sp macro="" textlink="">
          <xdr:nvSpPr>
            <xdr:cNvPr id="0" name=""/>
            <xdr:cNvSpPr>
              <a:spLocks noTextEdit="1"/>
            </xdr:cNvSpPr>
          </xdr:nvSpPr>
          <xdr:spPr>
            <a:xfrm>
              <a:off x="134938" y="3349625"/>
              <a:ext cx="2722562" cy="1762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0</xdr:colOff>
      <xdr:row>3</xdr:row>
      <xdr:rowOff>0</xdr:rowOff>
    </xdr:from>
    <xdr:to>
      <xdr:col>8</xdr:col>
      <xdr:colOff>0</xdr:colOff>
      <xdr:row>18</xdr:row>
      <xdr:rowOff>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6F5DC596-6A84-4851-A287-3C289C148B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48000" y="876300"/>
              <a:ext cx="5848350" cy="2857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YEAR" xr10:uid="{5E2C9265-7290-433B-9768-B85E572B334B}" sourceName="HIRE YEAR">
  <extLst>
    <x:ext xmlns:x15="http://schemas.microsoft.com/office/spreadsheetml/2010/11/main" uri="{2F2917AC-EB37-4324-AD4E-5DD8C200BD13}">
      <x15:tableSlicerCache tableId="1" column="1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ICE" xr10:uid="{8F5A0655-0111-4EA4-BBC3-AA105EBBEB0C}" sourceName="OFFICE">
  <extLst>
    <x:ext xmlns:x15="http://schemas.microsoft.com/office/spreadsheetml/2010/11/main" uri="{2F2917AC-EB37-4324-AD4E-5DD8C200BD13}">
      <x15:tableSlicerCache tableId="1"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21799A67-ACA6-4757-9FE4-08499CC71B75}" sourceName="DEPT">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E YEAR" xr10:uid="{A24B50BD-0423-43C3-BF5C-6687B528C974}" cache="Slicer_HIRE_YEAR" caption="HIRE YEAR" columnCount="3" rowHeight="241300"/>
  <slicer name="OFFICE" xr10:uid="{CF0BA88C-7B19-4E8F-89B1-5A0BE4A4724F}" cache="Slicer_OFFICE" caption="OFFICE" columnCount="3" rowHeight="241300"/>
  <slicer name="DEPT" xr10:uid="{B5E09101-1DE6-4718-ACBF-99465CA848D9}" cache="Slicer_DEPT" caption="DEPT"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AAB54D-29C4-4B0B-BEAD-478893971331}" name="Employees_Tbl" displayName="Employees_Tbl" ref="A4:P535" totalsRowCount="1" headerRowDxfId="34" dataDxfId="33" tableBorderDxfId="32">
  <autoFilter ref="A4:P534" xr:uid="{EBAAB54D-29C4-4B0B-BEAD-478893971331}"/>
  <tableColumns count="16">
    <tableColumn id="1" xr3:uid="{9D7FF0EC-5B0F-42F1-A583-1C220D494446}" name="ID" totalsRowLabel="Total" dataDxfId="31" totalsRowDxfId="30"/>
    <tableColumn id="2" xr3:uid="{5AFFCB41-1A3D-48BF-BAC3-102AD603F278}" name="FIRST" dataDxfId="29" totalsRowDxfId="28"/>
    <tableColumn id="3" xr3:uid="{7825B41F-3E6B-42C3-9C20-229F82E040DB}" name="LAST" dataDxfId="27" totalsRowDxfId="26"/>
    <tableColumn id="14" xr3:uid="{3516B1AB-9758-4346-8C35-E6C077ED890D}" name="Full Name" dataDxfId="25" totalsRowDxfId="24">
      <calculatedColumnFormula>Employees_Tbl[[#This Row],[LAST]] &amp;"." &amp; Employees_Tbl[[#This Row],[FIRST]]</calculatedColumnFormula>
    </tableColumn>
    <tableColumn id="4" xr3:uid="{3B5A4D1F-4CD9-47CB-BF17-77E1671B4155}" name="DEPT" dataDxfId="23" totalsRowDxfId="22"/>
    <tableColumn id="5" xr3:uid="{2B0937BD-62E1-4524-9B17-19BE941F9D67}" name="HIRE DATE" dataDxfId="21" totalsRowDxfId="20"/>
    <tableColumn id="15" xr3:uid="{B1A165F0-121E-4828-826A-E7F82A51C578}" name="HIRE YEAR" dataDxfId="19" totalsRowDxfId="18">
      <calculatedColumnFormula>YEAR(Employees_Tbl[[#This Row],[HIRE DATE]])</calculatedColumnFormula>
    </tableColumn>
    <tableColumn id="6" xr3:uid="{A3B91677-5770-4032-914B-7CE58D078C2F}" name="OFFICE" dataDxfId="17" totalsRowDxfId="16"/>
    <tableColumn id="7" xr3:uid="{8C4AF6D1-8A80-49A5-ABBA-7AFCAD2463C4}" name="STATE" dataDxfId="15" totalsRowDxfId="14"/>
    <tableColumn id="8" xr3:uid="{E4814F2D-A3A8-4563-B123-F48A84493B4E}" name="BASE SALARY" totalsRowFunction="sum" dataDxfId="13" totalsRowDxfId="12" dataCellStyle="Comma"/>
    <tableColumn id="9" xr3:uid="{39727EF2-F172-44DA-97F4-4A9E0DF79F20}" name="BONUS" totalsRowFunction="sum" dataDxfId="11" totalsRowDxfId="10" dataCellStyle="Comma"/>
    <tableColumn id="10" xr3:uid="{B85635A2-888A-4AC3-A004-0B26A88A07A7}" name="COMMISSION" totalsRowFunction="sum" dataDxfId="9" totalsRowDxfId="8"/>
    <tableColumn id="16" xr3:uid="{5B60BDD0-646B-45F6-975B-FB09783D8D6B}" name="Wages" dataDxfId="7" totalsRowDxfId="6">
      <calculatedColumnFormula>SUM(Employees_Tbl[[#This Row],[BASE SALARY]:[COMMISSION]])</calculatedColumnFormula>
    </tableColumn>
    <tableColumn id="11" xr3:uid="{C80A4DFE-39C4-4EB6-94C8-915C82BA370B}" name="PERSONAL DAYS" totalsRowFunction="average" dataDxfId="5" totalsRowDxfId="4"/>
    <tableColumn id="12" xr3:uid="{BEE57656-AF32-41E9-9210-5648B8BB7C9C}" name="SICK DAYS" totalsRowFunction="average" dataDxfId="3" totalsRowDxfId="2"/>
    <tableColumn id="13" xr3:uid="{1EC17D93-015D-4CDA-8E4E-B7415960EFA7}" name="EVAL SCORE" totalsRowFunction="average" dataDxfId="1" totalsRow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B92B-6DCB-4843-B576-6EA6B3427464}">
  <dimension ref="A1:B5"/>
  <sheetViews>
    <sheetView zoomScale="120" zoomScaleNormal="120" workbookViewId="0">
      <selection activeCell="B5" sqref="B5"/>
    </sheetView>
  </sheetViews>
  <sheetFormatPr defaultRowHeight="15" x14ac:dyDescent="0.25"/>
  <cols>
    <col min="1" max="1" width="10.7109375" customWidth="1"/>
    <col min="2" max="2" width="36.85546875" customWidth="1"/>
  </cols>
  <sheetData>
    <row r="1" spans="1:2" ht="35.25" x14ac:dyDescent="0.5">
      <c r="A1" s="1" t="s">
        <v>0</v>
      </c>
    </row>
    <row r="3" spans="1:2" x14ac:dyDescent="0.25">
      <c r="A3" s="2" t="s">
        <v>1</v>
      </c>
      <c r="B3" s="3" t="s">
        <v>1415</v>
      </c>
    </row>
    <row r="4" spans="1:2" x14ac:dyDescent="0.25">
      <c r="A4" s="2" t="s">
        <v>2</v>
      </c>
      <c r="B4" s="4">
        <f ca="1">TODAY()</f>
        <v>44659</v>
      </c>
    </row>
    <row r="5" spans="1:2" ht="45" x14ac:dyDescent="0.25">
      <c r="A5" s="2" t="s">
        <v>3</v>
      </c>
      <c r="B5" s="3" t="s">
        <v>1404</v>
      </c>
    </row>
  </sheetData>
  <dataValidations count="1">
    <dataValidation allowBlank="1" error="pavI8MeUFtEyxX2I4tky7707fed5-ecdc-4142-92a8-6abbe791448b" sqref="A1:B5" xr:uid="{00000000-0002-0000-0000-000000000000}"/>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11B63-A9CF-4F2D-BE81-4DFE1349E6B6}">
  <dimension ref="B1:H25"/>
  <sheetViews>
    <sheetView tabSelected="1" zoomScale="120" zoomScaleNormal="120" workbookViewId="0">
      <selection activeCell="H22" sqref="H22"/>
    </sheetView>
  </sheetViews>
  <sheetFormatPr defaultRowHeight="15" x14ac:dyDescent="0.25"/>
  <cols>
    <col min="1" max="1" width="2" customWidth="1"/>
    <col min="2" max="2" width="40.85546875" customWidth="1"/>
    <col min="3" max="3" width="2.85546875" customWidth="1"/>
    <col min="4" max="4" width="24.5703125" customWidth="1"/>
    <col min="5" max="5" width="16" customWidth="1"/>
    <col min="6" max="6" width="8" customWidth="1"/>
    <col min="7" max="7" width="19.7109375" customWidth="1"/>
    <col min="8" max="8" width="19.42578125" customWidth="1"/>
  </cols>
  <sheetData>
    <row r="1" spans="2:2" ht="35.25" x14ac:dyDescent="0.5">
      <c r="B1" s="1" t="s">
        <v>0</v>
      </c>
    </row>
    <row r="2" spans="2:2" ht="18.75" x14ac:dyDescent="0.3">
      <c r="B2" s="5" t="s">
        <v>4</v>
      </c>
    </row>
    <row r="20" spans="4:8" ht="18" thickBot="1" x14ac:dyDescent="0.35">
      <c r="D20" s="26" t="s">
        <v>5</v>
      </c>
      <c r="E20" s="26"/>
      <c r="G20" s="26" t="s">
        <v>6</v>
      </c>
      <c r="H20" s="26"/>
    </row>
    <row r="21" spans="4:8" ht="15.75" thickTop="1" x14ac:dyDescent="0.25">
      <c r="D21" s="6" t="s">
        <v>7</v>
      </c>
      <c r="E21" s="7">
        <f>SUBTOTAL(3, Employees_Tbl[ID])</f>
        <v>530</v>
      </c>
      <c r="G21" s="6" t="s">
        <v>8</v>
      </c>
      <c r="H21" s="8" t="s">
        <v>646</v>
      </c>
    </row>
    <row r="22" spans="4:8" x14ac:dyDescent="0.25">
      <c r="D22" s="6" t="s">
        <v>1405</v>
      </c>
      <c r="E22" s="9">
        <f>SUBTOTAL(9, Employees_Tbl[Wages])</f>
        <v>36202050</v>
      </c>
      <c r="G22" s="6" t="s">
        <v>10</v>
      </c>
      <c r="H22" s="7" t="str">
        <f>VLOOKUP(H21, Employees_Tbl[], 4, FALSE)</f>
        <v>Qureshi.Lila</v>
      </c>
    </row>
    <row r="23" spans="4:8" x14ac:dyDescent="0.25">
      <c r="D23" s="6" t="s">
        <v>1406</v>
      </c>
      <c r="E23" s="10">
        <f>SUBTOTAL(1, Employees_Tbl[Wages])</f>
        <v>68305.75471698113</v>
      </c>
      <c r="G23" s="6" t="s">
        <v>11</v>
      </c>
      <c r="H23" s="7" t="str">
        <f>VLOOKUP(H21, Employees_Tbl[], 5, FALSE)</f>
        <v>Finance</v>
      </c>
    </row>
    <row r="24" spans="4:8" x14ac:dyDescent="0.25">
      <c r="D24" s="6" t="s">
        <v>1407</v>
      </c>
      <c r="E24" s="9">
        <f>SUBTOTAL(5, Employees_Tbl[Wages])</f>
        <v>28400</v>
      </c>
      <c r="G24" s="6" t="s">
        <v>12</v>
      </c>
      <c r="H24" s="7" t="str">
        <f>VLOOKUP(H21, Employees_Tbl[], 8, FALSE)</f>
        <v>San Francisco</v>
      </c>
    </row>
    <row r="25" spans="4:8" x14ac:dyDescent="0.25">
      <c r="D25" s="6" t="s">
        <v>1408</v>
      </c>
      <c r="E25" s="9">
        <f>SUBTOTAL(4, Employees_Tbl[Wages])</f>
        <v>160600</v>
      </c>
      <c r="G25" s="6" t="s">
        <v>1411</v>
      </c>
      <c r="H25" s="9">
        <f>VLOOKUP(H21, Employees_Tbl[], 13, FALSE)</f>
        <v>64600</v>
      </c>
    </row>
  </sheetData>
  <mergeCells count="2">
    <mergeCell ref="D20:E20"/>
    <mergeCell ref="G20:H20"/>
  </mergeCells>
  <dataValidations count="1">
    <dataValidation allowBlank="1" error="pavI8MeUFtEyxX2I4tky7707fed5-ecdc-4142-92a8-6abbe791448b" sqref="A1:H25" xr:uid="{00000000-0002-0000-0100-000000000000}"/>
  </dataValidation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3A914-5458-4747-81D5-081B7246A290}">
  <dimension ref="A1:P535"/>
  <sheetViews>
    <sheetView topLeftCell="E513" zoomScaleNormal="100" workbookViewId="0">
      <selection activeCell="M5" sqref="M5:M534"/>
    </sheetView>
  </sheetViews>
  <sheetFormatPr defaultRowHeight="15" x14ac:dyDescent="0.25"/>
  <cols>
    <col min="1" max="1" width="14" customWidth="1"/>
    <col min="2" max="2" width="12.7109375" bestFit="1" customWidth="1"/>
    <col min="3" max="3" width="19.7109375" bestFit="1" customWidth="1"/>
    <col min="4" max="4" width="19.7109375" customWidth="1"/>
    <col min="5" max="5" width="17.28515625" bestFit="1" customWidth="1"/>
    <col min="6" max="7" width="12" customWidth="1"/>
    <col min="8" max="8" width="12.85546875" bestFit="1" customWidth="1"/>
    <col min="9" max="9" width="8.28515625" customWidth="1"/>
    <col min="10" max="13" width="19.5703125" customWidth="1"/>
    <col min="14" max="14" width="17.5703125" customWidth="1"/>
    <col min="15" max="15" width="14" customWidth="1"/>
    <col min="16" max="16" width="13.7109375" customWidth="1"/>
  </cols>
  <sheetData>
    <row r="1" spans="1:16" ht="35.25" x14ac:dyDescent="0.5">
      <c r="A1" s="1" t="s">
        <v>0</v>
      </c>
    </row>
    <row r="2" spans="1:16" ht="18.75" x14ac:dyDescent="0.3">
      <c r="A2" s="5" t="s">
        <v>1399</v>
      </c>
    </row>
    <row r="4" spans="1:16" x14ac:dyDescent="0.25">
      <c r="A4" s="19" t="s">
        <v>8</v>
      </c>
      <c r="B4" s="20" t="s">
        <v>1286</v>
      </c>
      <c r="C4" s="20" t="s">
        <v>1287</v>
      </c>
      <c r="D4" s="20" t="s">
        <v>1421</v>
      </c>
      <c r="E4" s="20" t="s">
        <v>1285</v>
      </c>
      <c r="F4" s="20" t="s">
        <v>1288</v>
      </c>
      <c r="G4" s="20" t="s">
        <v>1395</v>
      </c>
      <c r="H4" s="20" t="s">
        <v>1289</v>
      </c>
      <c r="I4" s="20" t="s">
        <v>1290</v>
      </c>
      <c r="J4" s="20" t="s">
        <v>1301</v>
      </c>
      <c r="K4" s="20" t="s">
        <v>1291</v>
      </c>
      <c r="L4" s="20" t="s">
        <v>1292</v>
      </c>
      <c r="M4" s="20" t="s">
        <v>1411</v>
      </c>
      <c r="N4" s="20" t="s">
        <v>1293</v>
      </c>
      <c r="O4" s="19" t="s">
        <v>1294</v>
      </c>
      <c r="P4" s="21" t="s">
        <v>1295</v>
      </c>
    </row>
    <row r="5" spans="1:16" x14ac:dyDescent="0.25">
      <c r="A5" s="11" t="s">
        <v>142</v>
      </c>
      <c r="B5" s="11" t="s">
        <v>54</v>
      </c>
      <c r="C5" s="11" t="s">
        <v>143</v>
      </c>
      <c r="D5" s="11" t="str">
        <f>Employees_Tbl[[#This Row],[LAST]] &amp;"." &amp; Employees_Tbl[[#This Row],[FIRST]]</f>
        <v>Branch.Jean</v>
      </c>
      <c r="E5" s="11" t="s">
        <v>53</v>
      </c>
      <c r="F5" s="14">
        <v>41754</v>
      </c>
      <c r="G5" s="25">
        <f>YEAR(Employees_Tbl[[#This Row],[HIRE DATE]])</f>
        <v>2014</v>
      </c>
      <c r="H5" s="11" t="s">
        <v>17</v>
      </c>
      <c r="I5" s="11" t="s">
        <v>18</v>
      </c>
      <c r="J5" s="12">
        <v>92900</v>
      </c>
      <c r="K5" s="12">
        <v>450</v>
      </c>
      <c r="L5" s="13">
        <v>0</v>
      </c>
      <c r="M5" s="13">
        <f>SUM(Employees_Tbl[[#This Row],[BASE SALARY]:[COMMISSION]])</f>
        <v>93350</v>
      </c>
      <c r="N5" s="11">
        <v>15</v>
      </c>
      <c r="O5" s="11">
        <v>6</v>
      </c>
      <c r="P5" s="11">
        <v>3</v>
      </c>
    </row>
    <row r="6" spans="1:16" x14ac:dyDescent="0.25">
      <c r="A6" s="11" t="s">
        <v>1038</v>
      </c>
      <c r="B6" s="11" t="s">
        <v>1039</v>
      </c>
      <c r="C6" s="11" t="s">
        <v>1040</v>
      </c>
      <c r="D6" s="11" t="str">
        <f>Employees_Tbl[[#This Row],[LAST]] &amp;"." &amp; Employees_Tbl[[#This Row],[FIRST]]</f>
        <v>Burnett.Cheryl</v>
      </c>
      <c r="E6" s="11" t="s">
        <v>53</v>
      </c>
      <c r="F6" s="14">
        <v>43972</v>
      </c>
      <c r="G6" s="25">
        <f>YEAR(Employees_Tbl[[#This Row],[HIRE DATE]])</f>
        <v>2020</v>
      </c>
      <c r="H6" s="11" t="s">
        <v>17</v>
      </c>
      <c r="I6" s="11" t="s">
        <v>18</v>
      </c>
      <c r="J6" s="12">
        <v>85200</v>
      </c>
      <c r="K6" s="12">
        <v>2500</v>
      </c>
      <c r="L6" s="13">
        <v>0</v>
      </c>
      <c r="M6" s="13">
        <f>SUM(Employees_Tbl[[#This Row],[BASE SALARY]:[COMMISSION]])</f>
        <v>87700</v>
      </c>
      <c r="N6" s="11">
        <v>15</v>
      </c>
      <c r="O6" s="11">
        <v>4</v>
      </c>
      <c r="P6" s="11">
        <v>4</v>
      </c>
    </row>
    <row r="7" spans="1:16" x14ac:dyDescent="0.25">
      <c r="A7" s="11" t="s">
        <v>249</v>
      </c>
      <c r="B7" s="11" t="s">
        <v>134</v>
      </c>
      <c r="C7" s="11" t="s">
        <v>250</v>
      </c>
      <c r="D7" s="11" t="str">
        <f>Employees_Tbl[[#This Row],[LAST]] &amp;"." &amp; Employees_Tbl[[#This Row],[FIRST]]</f>
        <v>Mccoy.James</v>
      </c>
      <c r="E7" s="11" t="s">
        <v>53</v>
      </c>
      <c r="F7" s="14">
        <v>42304</v>
      </c>
      <c r="G7" s="25">
        <f>YEAR(Employees_Tbl[[#This Row],[HIRE DATE]])</f>
        <v>2015</v>
      </c>
      <c r="H7" s="11" t="s">
        <v>17</v>
      </c>
      <c r="I7" s="11" t="s">
        <v>18</v>
      </c>
      <c r="J7" s="12">
        <v>84800</v>
      </c>
      <c r="K7" s="12">
        <v>3000</v>
      </c>
      <c r="L7" s="13">
        <v>0</v>
      </c>
      <c r="M7" s="13">
        <f>SUM(Employees_Tbl[[#This Row],[BASE SALARY]:[COMMISSION]])</f>
        <v>87800</v>
      </c>
      <c r="N7" s="11">
        <v>17</v>
      </c>
      <c r="O7" s="11">
        <v>3</v>
      </c>
      <c r="P7" s="11">
        <v>5</v>
      </c>
    </row>
    <row r="8" spans="1:16" x14ac:dyDescent="0.25">
      <c r="A8" s="11" t="s">
        <v>344</v>
      </c>
      <c r="B8" s="11" t="s">
        <v>345</v>
      </c>
      <c r="C8" s="11" t="s">
        <v>346</v>
      </c>
      <c r="D8" s="11" t="str">
        <f>Employees_Tbl[[#This Row],[LAST]] &amp;"." &amp; Employees_Tbl[[#This Row],[FIRST]]</f>
        <v>Henderson.Walter</v>
      </c>
      <c r="E8" s="11" t="s">
        <v>53</v>
      </c>
      <c r="F8" s="14">
        <v>42433</v>
      </c>
      <c r="G8" s="25">
        <f>YEAR(Employees_Tbl[[#This Row],[HIRE DATE]])</f>
        <v>2016</v>
      </c>
      <c r="H8" s="11" t="s">
        <v>17</v>
      </c>
      <c r="I8" s="11" t="s">
        <v>18</v>
      </c>
      <c r="J8" s="12">
        <v>83200</v>
      </c>
      <c r="K8" s="12">
        <v>2500</v>
      </c>
      <c r="L8" s="13">
        <v>0</v>
      </c>
      <c r="M8" s="13">
        <f>SUM(Employees_Tbl[[#This Row],[BASE SALARY]:[COMMISSION]])</f>
        <v>85700</v>
      </c>
      <c r="N8" s="11">
        <v>18</v>
      </c>
      <c r="O8" s="11">
        <v>6</v>
      </c>
      <c r="P8" s="11">
        <v>4</v>
      </c>
    </row>
    <row r="9" spans="1:16" x14ac:dyDescent="0.25">
      <c r="A9" s="11" t="s">
        <v>55</v>
      </c>
      <c r="B9" s="11" t="s">
        <v>56</v>
      </c>
      <c r="C9" s="11" t="s">
        <v>57</v>
      </c>
      <c r="D9" s="11" t="str">
        <f>Employees_Tbl[[#This Row],[LAST]] &amp;"." &amp; Employees_Tbl[[#This Row],[FIRST]]</f>
        <v>King.Deborah</v>
      </c>
      <c r="E9" s="11" t="s">
        <v>53</v>
      </c>
      <c r="F9" s="14">
        <v>41362</v>
      </c>
      <c r="G9" s="25">
        <f>YEAR(Employees_Tbl[[#This Row],[HIRE DATE]])</f>
        <v>2013</v>
      </c>
      <c r="H9" s="11" t="s">
        <v>17</v>
      </c>
      <c r="I9" s="11" t="s">
        <v>18</v>
      </c>
      <c r="J9" s="12">
        <v>80500</v>
      </c>
      <c r="K9" s="12">
        <v>1500</v>
      </c>
      <c r="L9" s="13">
        <v>0</v>
      </c>
      <c r="M9" s="13">
        <f>SUM(Employees_Tbl[[#This Row],[BASE SALARY]:[COMMISSION]])</f>
        <v>82000</v>
      </c>
      <c r="N9" s="11">
        <v>13</v>
      </c>
      <c r="O9" s="11">
        <v>9</v>
      </c>
      <c r="P9" s="11">
        <v>4</v>
      </c>
    </row>
    <row r="10" spans="1:16" x14ac:dyDescent="0.25">
      <c r="A10" s="11" t="s">
        <v>863</v>
      </c>
      <c r="B10" s="11" t="s">
        <v>114</v>
      </c>
      <c r="C10" s="11" t="s">
        <v>864</v>
      </c>
      <c r="D10" s="11" t="str">
        <f>Employees_Tbl[[#This Row],[LAST]] &amp;"." &amp; Employees_Tbl[[#This Row],[FIRST]]</f>
        <v>Nix.William</v>
      </c>
      <c r="E10" s="11" t="s">
        <v>53</v>
      </c>
      <c r="F10" s="14">
        <v>43676</v>
      </c>
      <c r="G10" s="25">
        <f>YEAR(Employees_Tbl[[#This Row],[HIRE DATE]])</f>
        <v>2019</v>
      </c>
      <c r="H10" s="11" t="s">
        <v>17</v>
      </c>
      <c r="I10" s="11" t="s">
        <v>18</v>
      </c>
      <c r="J10" s="12">
        <v>76300</v>
      </c>
      <c r="K10" s="12">
        <v>3000</v>
      </c>
      <c r="L10" s="13">
        <v>0</v>
      </c>
      <c r="M10" s="13">
        <f>SUM(Employees_Tbl[[#This Row],[BASE SALARY]:[COMMISSION]])</f>
        <v>79300</v>
      </c>
      <c r="N10" s="11">
        <v>10</v>
      </c>
      <c r="O10" s="11">
        <v>3</v>
      </c>
      <c r="P10" s="11">
        <v>5</v>
      </c>
    </row>
    <row r="11" spans="1:16" x14ac:dyDescent="0.25">
      <c r="A11" s="11" t="s">
        <v>1418</v>
      </c>
      <c r="B11" s="11" t="s">
        <v>1419</v>
      </c>
      <c r="C11" s="11" t="s">
        <v>1420</v>
      </c>
      <c r="D11" s="11" t="str">
        <f>Employees_Tbl[[#This Row],[LAST]] &amp;"." &amp; Employees_Tbl[[#This Row],[FIRST]]</f>
        <v>Ruiz.Karl</v>
      </c>
      <c r="E11" s="11" t="s">
        <v>53</v>
      </c>
      <c r="F11" s="14">
        <v>44108</v>
      </c>
      <c r="G11" s="25">
        <f>YEAR(Employees_Tbl[[#This Row],[HIRE DATE]])</f>
        <v>2020</v>
      </c>
      <c r="H11" s="11" t="s">
        <v>17</v>
      </c>
      <c r="I11" s="11" t="s">
        <v>18</v>
      </c>
      <c r="J11" s="12">
        <v>73500</v>
      </c>
      <c r="K11" s="12">
        <v>1500</v>
      </c>
      <c r="L11" s="13">
        <v>0</v>
      </c>
      <c r="M11" s="13">
        <f>SUM(Employees_Tbl[[#This Row],[BASE SALARY]:[COMMISSION]])</f>
        <v>75000</v>
      </c>
      <c r="N11" s="11">
        <v>10</v>
      </c>
      <c r="O11" s="11">
        <v>0</v>
      </c>
      <c r="P11" s="11">
        <v>4</v>
      </c>
    </row>
    <row r="12" spans="1:16" x14ac:dyDescent="0.25">
      <c r="A12" s="11" t="s">
        <v>1037</v>
      </c>
      <c r="B12" s="11" t="s">
        <v>1373</v>
      </c>
      <c r="C12" s="11" t="s">
        <v>1374</v>
      </c>
      <c r="D12" s="11" t="str">
        <f>Employees_Tbl[[#This Row],[LAST]] &amp;"." &amp; Employees_Tbl[[#This Row],[FIRST]]</f>
        <v>Verdejo.Antonio</v>
      </c>
      <c r="E12" s="11" t="s">
        <v>53</v>
      </c>
      <c r="F12" s="14">
        <v>43955</v>
      </c>
      <c r="G12" s="25">
        <f>YEAR(Employees_Tbl[[#This Row],[HIRE DATE]])</f>
        <v>2020</v>
      </c>
      <c r="H12" s="11" t="s">
        <v>17</v>
      </c>
      <c r="I12" s="11" t="s">
        <v>18</v>
      </c>
      <c r="J12" s="12">
        <v>70800</v>
      </c>
      <c r="K12" s="12">
        <v>2500</v>
      </c>
      <c r="L12" s="13">
        <v>0</v>
      </c>
      <c r="M12" s="13">
        <f>SUM(Employees_Tbl[[#This Row],[BASE SALARY]:[COMMISSION]])</f>
        <v>73300</v>
      </c>
      <c r="N12" s="11">
        <v>10</v>
      </c>
      <c r="O12" s="11">
        <v>4</v>
      </c>
      <c r="P12" s="11">
        <v>2</v>
      </c>
    </row>
    <row r="13" spans="1:16" x14ac:dyDescent="0.25">
      <c r="A13" s="11" t="s">
        <v>1035</v>
      </c>
      <c r="B13" s="11" t="s">
        <v>35</v>
      </c>
      <c r="C13" s="11" t="s">
        <v>1036</v>
      </c>
      <c r="D13" s="11" t="str">
        <f>Employees_Tbl[[#This Row],[LAST]] &amp;"." &amp; Employees_Tbl[[#This Row],[FIRST]]</f>
        <v>Parvin.Charles</v>
      </c>
      <c r="E13" s="11" t="s">
        <v>53</v>
      </c>
      <c r="F13" s="14">
        <v>44060</v>
      </c>
      <c r="G13" s="25">
        <f>YEAR(Employees_Tbl[[#This Row],[HIRE DATE]])</f>
        <v>2020</v>
      </c>
      <c r="H13" s="11" t="s">
        <v>17</v>
      </c>
      <c r="I13" s="11" t="s">
        <v>18</v>
      </c>
      <c r="J13" s="12">
        <v>67400</v>
      </c>
      <c r="K13" s="12">
        <v>2000</v>
      </c>
      <c r="L13" s="13">
        <v>0</v>
      </c>
      <c r="M13" s="13">
        <f>SUM(Employees_Tbl[[#This Row],[BASE SALARY]:[COMMISSION]])</f>
        <v>69400</v>
      </c>
      <c r="N13" s="11">
        <v>13</v>
      </c>
      <c r="O13" s="11">
        <v>7</v>
      </c>
      <c r="P13" s="11">
        <v>4</v>
      </c>
    </row>
    <row r="14" spans="1:16" x14ac:dyDescent="0.25">
      <c r="A14" s="11" t="s">
        <v>500</v>
      </c>
      <c r="B14" s="11" t="s">
        <v>501</v>
      </c>
      <c r="C14" s="11" t="s">
        <v>502</v>
      </c>
      <c r="D14" s="11" t="str">
        <f>Employees_Tbl[[#This Row],[LAST]] &amp;"." &amp; Employees_Tbl[[#This Row],[FIRST]]</f>
        <v>Howton.Clifton</v>
      </c>
      <c r="E14" s="11" t="s">
        <v>53</v>
      </c>
      <c r="F14" s="14">
        <v>42768</v>
      </c>
      <c r="G14" s="25">
        <f>YEAR(Employees_Tbl[[#This Row],[HIRE DATE]])</f>
        <v>2017</v>
      </c>
      <c r="H14" s="11" t="s">
        <v>17</v>
      </c>
      <c r="I14" s="11" t="s">
        <v>18</v>
      </c>
      <c r="J14" s="12">
        <v>57900</v>
      </c>
      <c r="K14" s="12">
        <v>1500</v>
      </c>
      <c r="L14" s="13">
        <v>0</v>
      </c>
      <c r="M14" s="13">
        <f>SUM(Employees_Tbl[[#This Row],[BASE SALARY]:[COMMISSION]])</f>
        <v>59400</v>
      </c>
      <c r="N14" s="11">
        <v>12</v>
      </c>
      <c r="O14" s="11">
        <v>5</v>
      </c>
      <c r="P14" s="11">
        <v>4</v>
      </c>
    </row>
    <row r="15" spans="1:16" x14ac:dyDescent="0.25">
      <c r="A15" s="11" t="s">
        <v>246</v>
      </c>
      <c r="B15" s="11" t="s">
        <v>247</v>
      </c>
      <c r="C15" s="11" t="s">
        <v>248</v>
      </c>
      <c r="D15" s="11" t="str">
        <f>Employees_Tbl[[#This Row],[LAST]] &amp;"." &amp; Employees_Tbl[[#This Row],[FIRST]]</f>
        <v>Trinidad.Matthew</v>
      </c>
      <c r="E15" s="11" t="s">
        <v>53</v>
      </c>
      <c r="F15" s="14">
        <v>42125</v>
      </c>
      <c r="G15" s="25">
        <f>YEAR(Employees_Tbl[[#This Row],[HIRE DATE]])</f>
        <v>2015</v>
      </c>
      <c r="H15" s="11" t="s">
        <v>17</v>
      </c>
      <c r="I15" s="11" t="s">
        <v>18</v>
      </c>
      <c r="J15" s="12">
        <v>49000</v>
      </c>
      <c r="K15" s="12">
        <v>1500</v>
      </c>
      <c r="L15" s="13">
        <v>0</v>
      </c>
      <c r="M15" s="13">
        <f>SUM(Employees_Tbl[[#This Row],[BASE SALARY]:[COMMISSION]])</f>
        <v>50500</v>
      </c>
      <c r="N15" s="11">
        <v>13</v>
      </c>
      <c r="O15" s="11">
        <v>7</v>
      </c>
      <c r="P15" s="11">
        <v>2</v>
      </c>
    </row>
    <row r="16" spans="1:16" x14ac:dyDescent="0.25">
      <c r="A16" s="11" t="s">
        <v>860</v>
      </c>
      <c r="B16" s="11" t="s">
        <v>861</v>
      </c>
      <c r="C16" s="11" t="s">
        <v>862</v>
      </c>
      <c r="D16" s="11" t="str">
        <f>Employees_Tbl[[#This Row],[LAST]] &amp;"." &amp; Employees_Tbl[[#This Row],[FIRST]]</f>
        <v>Andersen.Devon</v>
      </c>
      <c r="E16" s="11" t="s">
        <v>53</v>
      </c>
      <c r="F16" s="14">
        <v>43677</v>
      </c>
      <c r="G16" s="25">
        <f>YEAR(Employees_Tbl[[#This Row],[HIRE DATE]])</f>
        <v>2019</v>
      </c>
      <c r="H16" s="11" t="s">
        <v>17</v>
      </c>
      <c r="I16" s="11" t="s">
        <v>18</v>
      </c>
      <c r="J16" s="12">
        <v>48200</v>
      </c>
      <c r="K16" s="12">
        <v>1500</v>
      </c>
      <c r="L16" s="13">
        <v>0</v>
      </c>
      <c r="M16" s="13">
        <f>SUM(Employees_Tbl[[#This Row],[BASE SALARY]:[COMMISSION]])</f>
        <v>49700</v>
      </c>
      <c r="N16" s="11">
        <v>10</v>
      </c>
      <c r="O16" s="11">
        <v>6</v>
      </c>
      <c r="P16" s="11">
        <v>5</v>
      </c>
    </row>
    <row r="17" spans="1:16" x14ac:dyDescent="0.25">
      <c r="A17" s="11" t="s">
        <v>341</v>
      </c>
      <c r="B17" s="11" t="s">
        <v>342</v>
      </c>
      <c r="C17" s="11" t="s">
        <v>343</v>
      </c>
      <c r="D17" s="11" t="str">
        <f>Employees_Tbl[[#This Row],[LAST]] &amp;"." &amp; Employees_Tbl[[#This Row],[FIRST]]</f>
        <v>Baker.Shelley</v>
      </c>
      <c r="E17" s="11" t="s">
        <v>53</v>
      </c>
      <c r="F17" s="14">
        <v>42657</v>
      </c>
      <c r="G17" s="25">
        <f>YEAR(Employees_Tbl[[#This Row],[HIRE DATE]])</f>
        <v>2016</v>
      </c>
      <c r="H17" s="11" t="s">
        <v>17</v>
      </c>
      <c r="I17" s="11" t="s">
        <v>18</v>
      </c>
      <c r="J17" s="12">
        <v>43700</v>
      </c>
      <c r="K17" s="12">
        <v>1500</v>
      </c>
      <c r="L17" s="13">
        <v>0</v>
      </c>
      <c r="M17" s="13">
        <f>SUM(Employees_Tbl[[#This Row],[BASE SALARY]:[COMMISSION]])</f>
        <v>45200</v>
      </c>
      <c r="N17" s="11">
        <v>15</v>
      </c>
      <c r="O17" s="11">
        <v>8</v>
      </c>
      <c r="P17" s="11">
        <v>4</v>
      </c>
    </row>
    <row r="18" spans="1:16" x14ac:dyDescent="0.25">
      <c r="A18" s="11" t="s">
        <v>50</v>
      </c>
      <c r="B18" s="11" t="s">
        <v>51</v>
      </c>
      <c r="C18" s="11" t="s">
        <v>52</v>
      </c>
      <c r="D18" s="11" t="str">
        <f>Employees_Tbl[[#This Row],[LAST]] &amp;"." &amp; Employees_Tbl[[#This Row],[FIRST]]</f>
        <v>Hackett.Monica</v>
      </c>
      <c r="E18" s="11" t="s">
        <v>53</v>
      </c>
      <c r="F18" s="14">
        <v>41609</v>
      </c>
      <c r="G18" s="25">
        <f>YEAR(Employees_Tbl[[#This Row],[HIRE DATE]])</f>
        <v>2013</v>
      </c>
      <c r="H18" s="11" t="s">
        <v>17</v>
      </c>
      <c r="I18" s="11" t="s">
        <v>18</v>
      </c>
      <c r="J18" s="12">
        <v>33300</v>
      </c>
      <c r="K18" s="12">
        <v>1000</v>
      </c>
      <c r="L18" s="13">
        <v>0</v>
      </c>
      <c r="M18" s="13">
        <f>SUM(Employees_Tbl[[#This Row],[BASE SALARY]:[COMMISSION]])</f>
        <v>34300</v>
      </c>
      <c r="N18" s="11">
        <v>18</v>
      </c>
      <c r="O18" s="11">
        <v>9</v>
      </c>
      <c r="P18" s="11">
        <v>5</v>
      </c>
    </row>
    <row r="19" spans="1:16" x14ac:dyDescent="0.25">
      <c r="A19" s="11" t="s">
        <v>1032</v>
      </c>
      <c r="B19" s="11" t="s">
        <v>1033</v>
      </c>
      <c r="C19" s="11" t="s">
        <v>1034</v>
      </c>
      <c r="D19" s="11" t="str">
        <f>Employees_Tbl[[#This Row],[LAST]] &amp;"." &amp; Employees_Tbl[[#This Row],[FIRST]]</f>
        <v>Bailey.Beverley</v>
      </c>
      <c r="E19" s="11" t="s">
        <v>53</v>
      </c>
      <c r="F19" s="14">
        <v>43839</v>
      </c>
      <c r="G19" s="25">
        <f>YEAR(Employees_Tbl[[#This Row],[HIRE DATE]])</f>
        <v>2020</v>
      </c>
      <c r="H19" s="11" t="s">
        <v>17</v>
      </c>
      <c r="I19" s="11" t="s">
        <v>18</v>
      </c>
      <c r="J19" s="12">
        <v>31700</v>
      </c>
      <c r="K19" s="12">
        <v>1000</v>
      </c>
      <c r="L19" s="13">
        <v>0</v>
      </c>
      <c r="M19" s="13">
        <f>SUM(Employees_Tbl[[#This Row],[BASE SALARY]:[COMMISSION]])</f>
        <v>32700</v>
      </c>
      <c r="N19" s="11">
        <v>14</v>
      </c>
      <c r="O19" s="11">
        <v>5</v>
      </c>
      <c r="P19" s="11">
        <v>3</v>
      </c>
    </row>
    <row r="20" spans="1:16" x14ac:dyDescent="0.25">
      <c r="A20" s="11" t="s">
        <v>13</v>
      </c>
      <c r="B20" s="11" t="s">
        <v>14</v>
      </c>
      <c r="C20" s="11" t="s">
        <v>15</v>
      </c>
      <c r="D20" s="11" t="str">
        <f>Employees_Tbl[[#This Row],[LAST]] &amp;"." &amp; Employees_Tbl[[#This Row],[FIRST]]</f>
        <v>Strickland.Ella</v>
      </c>
      <c r="E20" s="11" t="s">
        <v>16</v>
      </c>
      <c r="F20" s="14">
        <v>41000</v>
      </c>
      <c r="G20" s="25">
        <f>YEAR(Employees_Tbl[[#This Row],[HIRE DATE]])</f>
        <v>2012</v>
      </c>
      <c r="H20" s="11" t="s">
        <v>17</v>
      </c>
      <c r="I20" s="11" t="s">
        <v>18</v>
      </c>
      <c r="J20" s="12">
        <v>100900</v>
      </c>
      <c r="K20" s="12">
        <v>4000</v>
      </c>
      <c r="L20" s="13">
        <v>0</v>
      </c>
      <c r="M20" s="13">
        <f>SUM(Employees_Tbl[[#This Row],[BASE SALARY]:[COMMISSION]])</f>
        <v>104900</v>
      </c>
      <c r="N20" s="11">
        <v>12</v>
      </c>
      <c r="O20" s="11">
        <v>6</v>
      </c>
      <c r="P20" s="11">
        <v>4</v>
      </c>
    </row>
    <row r="21" spans="1:16" x14ac:dyDescent="0.25">
      <c r="A21" s="11" t="s">
        <v>671</v>
      </c>
      <c r="B21" s="11" t="s">
        <v>672</v>
      </c>
      <c r="C21" s="11" t="s">
        <v>673</v>
      </c>
      <c r="D21" s="11" t="str">
        <f>Employees_Tbl[[#This Row],[LAST]] &amp;"." &amp; Employees_Tbl[[#This Row],[FIRST]]</f>
        <v>Hinnant.Luz</v>
      </c>
      <c r="E21" s="11" t="s">
        <v>16</v>
      </c>
      <c r="F21" s="14">
        <v>43206</v>
      </c>
      <c r="G21" s="25">
        <f>YEAR(Employees_Tbl[[#This Row],[HIRE DATE]])</f>
        <v>2018</v>
      </c>
      <c r="H21" s="11" t="s">
        <v>17</v>
      </c>
      <c r="I21" s="11" t="s">
        <v>18</v>
      </c>
      <c r="J21" s="12">
        <v>82100</v>
      </c>
      <c r="K21" s="12">
        <v>3500</v>
      </c>
      <c r="L21" s="13">
        <v>0</v>
      </c>
      <c r="M21" s="13">
        <f>SUM(Employees_Tbl[[#This Row],[BASE SALARY]:[COMMISSION]])</f>
        <v>85600</v>
      </c>
      <c r="N21" s="11">
        <v>10</v>
      </c>
      <c r="O21" s="11">
        <v>4</v>
      </c>
      <c r="P21" s="11">
        <v>5</v>
      </c>
    </row>
    <row r="22" spans="1:16" x14ac:dyDescent="0.25">
      <c r="A22" s="11" t="s">
        <v>1041</v>
      </c>
      <c r="B22" s="11" t="s">
        <v>100</v>
      </c>
      <c r="C22" s="11" t="s">
        <v>1042</v>
      </c>
      <c r="D22" s="11" t="str">
        <f>Employees_Tbl[[#This Row],[LAST]] &amp;"." &amp; Employees_Tbl[[#This Row],[FIRST]]</f>
        <v>Kellum.Amy</v>
      </c>
      <c r="E22" s="11" t="s">
        <v>16</v>
      </c>
      <c r="F22" s="14">
        <v>43896</v>
      </c>
      <c r="G22" s="25">
        <f>YEAR(Employees_Tbl[[#This Row],[HIRE DATE]])</f>
        <v>2020</v>
      </c>
      <c r="H22" s="11" t="s">
        <v>17</v>
      </c>
      <c r="I22" s="11" t="s">
        <v>18</v>
      </c>
      <c r="J22" s="12">
        <v>72100</v>
      </c>
      <c r="K22" s="12">
        <v>2000</v>
      </c>
      <c r="L22" s="13">
        <v>0</v>
      </c>
      <c r="M22" s="13">
        <f>SUM(Employees_Tbl[[#This Row],[BASE SALARY]:[COMMISSION]])</f>
        <v>74100</v>
      </c>
      <c r="N22" s="11">
        <v>12</v>
      </c>
      <c r="O22" s="11">
        <v>6</v>
      </c>
      <c r="P22" s="11">
        <v>5</v>
      </c>
    </row>
    <row r="23" spans="1:16" x14ac:dyDescent="0.25">
      <c r="A23" s="11" t="s">
        <v>865</v>
      </c>
      <c r="B23" s="11" t="s">
        <v>866</v>
      </c>
      <c r="C23" s="11" t="s">
        <v>867</v>
      </c>
      <c r="D23" s="11" t="str">
        <f>Employees_Tbl[[#This Row],[LAST]] &amp;"." &amp; Employees_Tbl[[#This Row],[FIRST]]</f>
        <v>Rollins.Mindy</v>
      </c>
      <c r="E23" s="11" t="s">
        <v>16</v>
      </c>
      <c r="F23" s="14">
        <v>43747</v>
      </c>
      <c r="G23" s="25">
        <f>YEAR(Employees_Tbl[[#This Row],[HIRE DATE]])</f>
        <v>2019</v>
      </c>
      <c r="H23" s="11" t="s">
        <v>17</v>
      </c>
      <c r="I23" s="11" t="s">
        <v>18</v>
      </c>
      <c r="J23" s="12">
        <v>64600</v>
      </c>
      <c r="K23" s="12">
        <v>2000</v>
      </c>
      <c r="L23" s="13">
        <v>0</v>
      </c>
      <c r="M23" s="13">
        <f>SUM(Employees_Tbl[[#This Row],[BASE SALARY]:[COMMISSION]])</f>
        <v>66600</v>
      </c>
      <c r="N23" s="11">
        <v>10</v>
      </c>
      <c r="O23" s="11">
        <v>7</v>
      </c>
      <c r="P23" s="11">
        <v>4</v>
      </c>
    </row>
    <row r="24" spans="1:16" x14ac:dyDescent="0.25">
      <c r="A24" s="11" t="s">
        <v>669</v>
      </c>
      <c r="B24" s="11" t="s">
        <v>215</v>
      </c>
      <c r="C24" s="11" t="s">
        <v>670</v>
      </c>
      <c r="D24" s="11" t="str">
        <f>Employees_Tbl[[#This Row],[LAST]] &amp;"." &amp; Employees_Tbl[[#This Row],[FIRST]]</f>
        <v>Leveille.Randi</v>
      </c>
      <c r="E24" s="11" t="s">
        <v>16</v>
      </c>
      <c r="F24" s="14">
        <v>43300</v>
      </c>
      <c r="G24" s="25">
        <f>YEAR(Employees_Tbl[[#This Row],[HIRE DATE]])</f>
        <v>2018</v>
      </c>
      <c r="H24" s="11" t="s">
        <v>17</v>
      </c>
      <c r="I24" s="11" t="s">
        <v>18</v>
      </c>
      <c r="J24" s="12">
        <v>53200</v>
      </c>
      <c r="K24" s="12">
        <v>1500</v>
      </c>
      <c r="L24" s="13">
        <v>0</v>
      </c>
      <c r="M24" s="13">
        <f>SUM(Employees_Tbl[[#This Row],[BASE SALARY]:[COMMISSION]])</f>
        <v>54700</v>
      </c>
      <c r="N24" s="11">
        <v>14</v>
      </c>
      <c r="O24" s="11">
        <v>2</v>
      </c>
      <c r="P24" s="11">
        <v>4</v>
      </c>
    </row>
    <row r="25" spans="1:16" x14ac:dyDescent="0.25">
      <c r="A25" s="11" t="s">
        <v>868</v>
      </c>
      <c r="B25" s="11" t="s">
        <v>67</v>
      </c>
      <c r="C25" s="11" t="s">
        <v>869</v>
      </c>
      <c r="D25" s="11" t="str">
        <f>Employees_Tbl[[#This Row],[LAST]] &amp;"." &amp; Employees_Tbl[[#This Row],[FIRST]]</f>
        <v>Goebel.Michelle</v>
      </c>
      <c r="E25" s="11" t="s">
        <v>22</v>
      </c>
      <c r="F25" s="14">
        <v>43471</v>
      </c>
      <c r="G25" s="25">
        <f>YEAR(Employees_Tbl[[#This Row],[HIRE DATE]])</f>
        <v>2019</v>
      </c>
      <c r="H25" s="11" t="s">
        <v>17</v>
      </c>
      <c r="I25" s="11" t="s">
        <v>18</v>
      </c>
      <c r="J25" s="12">
        <v>40400</v>
      </c>
      <c r="K25" s="12">
        <v>1000</v>
      </c>
      <c r="L25" s="13">
        <v>0</v>
      </c>
      <c r="M25" s="13">
        <f>SUM(Employees_Tbl[[#This Row],[BASE SALARY]:[COMMISSION]])</f>
        <v>41400</v>
      </c>
      <c r="N25" s="11">
        <v>15</v>
      </c>
      <c r="O25" s="11">
        <v>12</v>
      </c>
      <c r="P25" s="11">
        <v>4</v>
      </c>
    </row>
    <row r="26" spans="1:16" x14ac:dyDescent="0.25">
      <c r="A26" s="11" t="s">
        <v>58</v>
      </c>
      <c r="B26" s="11" t="s">
        <v>59</v>
      </c>
      <c r="C26" s="11" t="s">
        <v>60</v>
      </c>
      <c r="D26" s="11" t="str">
        <f>Employees_Tbl[[#This Row],[LAST]] &amp;"." &amp; Employees_Tbl[[#This Row],[FIRST]]</f>
        <v>Lentini.Hattie</v>
      </c>
      <c r="E26" s="11" t="s">
        <v>22</v>
      </c>
      <c r="F26" s="14">
        <v>41295</v>
      </c>
      <c r="G26" s="25">
        <f>YEAR(Employees_Tbl[[#This Row],[HIRE DATE]])</f>
        <v>2013</v>
      </c>
      <c r="H26" s="11" t="s">
        <v>17</v>
      </c>
      <c r="I26" s="11" t="s">
        <v>18</v>
      </c>
      <c r="J26" s="12">
        <v>39700</v>
      </c>
      <c r="K26" s="12">
        <v>1000</v>
      </c>
      <c r="L26" s="13">
        <v>0</v>
      </c>
      <c r="M26" s="13">
        <f>SUM(Employees_Tbl[[#This Row],[BASE SALARY]:[COMMISSION]])</f>
        <v>40700</v>
      </c>
      <c r="N26" s="11">
        <v>18</v>
      </c>
      <c r="O26" s="11">
        <v>5</v>
      </c>
      <c r="P26" s="11">
        <v>4</v>
      </c>
    </row>
    <row r="27" spans="1:16" x14ac:dyDescent="0.25">
      <c r="A27" s="11" t="s">
        <v>503</v>
      </c>
      <c r="B27" s="11" t="s">
        <v>223</v>
      </c>
      <c r="C27" s="11" t="s">
        <v>504</v>
      </c>
      <c r="D27" s="11" t="str">
        <f>Employees_Tbl[[#This Row],[LAST]] &amp;"." &amp; Employees_Tbl[[#This Row],[FIRST]]</f>
        <v>Williams.Michael</v>
      </c>
      <c r="E27" s="11" t="s">
        <v>22</v>
      </c>
      <c r="F27" s="14">
        <v>43025</v>
      </c>
      <c r="G27" s="25">
        <f>YEAR(Employees_Tbl[[#This Row],[HIRE DATE]])</f>
        <v>2017</v>
      </c>
      <c r="H27" s="11" t="s">
        <v>17</v>
      </c>
      <c r="I27" s="11" t="s">
        <v>18</v>
      </c>
      <c r="J27" s="12">
        <v>35500</v>
      </c>
      <c r="K27" s="12">
        <v>1000</v>
      </c>
      <c r="L27" s="13">
        <v>0</v>
      </c>
      <c r="M27" s="13">
        <f>SUM(Employees_Tbl[[#This Row],[BASE SALARY]:[COMMISSION]])</f>
        <v>36500</v>
      </c>
      <c r="N27" s="11">
        <v>16</v>
      </c>
      <c r="O27" s="11">
        <v>8</v>
      </c>
      <c r="P27" s="11">
        <v>2</v>
      </c>
    </row>
    <row r="28" spans="1:16" x14ac:dyDescent="0.25">
      <c r="A28" s="11" t="s">
        <v>19</v>
      </c>
      <c r="B28" s="11" t="s">
        <v>20</v>
      </c>
      <c r="C28" s="11" t="s">
        <v>21</v>
      </c>
      <c r="D28" s="11" t="str">
        <f>Employees_Tbl[[#This Row],[LAST]] &amp;"." &amp; Employees_Tbl[[#This Row],[FIRST]]</f>
        <v>Molter.Daniel</v>
      </c>
      <c r="E28" s="11" t="s">
        <v>22</v>
      </c>
      <c r="F28" s="14">
        <v>41105</v>
      </c>
      <c r="G28" s="25">
        <f>YEAR(Employees_Tbl[[#This Row],[HIRE DATE]])</f>
        <v>2012</v>
      </c>
      <c r="H28" s="11" t="s">
        <v>17</v>
      </c>
      <c r="I28" s="11" t="s">
        <v>18</v>
      </c>
      <c r="J28" s="12">
        <v>27400</v>
      </c>
      <c r="K28" s="12">
        <v>1000</v>
      </c>
      <c r="L28" s="13">
        <v>0</v>
      </c>
      <c r="M28" s="13">
        <f>SUM(Employees_Tbl[[#This Row],[BASE SALARY]:[COMMISSION]])</f>
        <v>28400</v>
      </c>
      <c r="N28" s="11">
        <v>14</v>
      </c>
      <c r="O28" s="11">
        <v>14</v>
      </c>
      <c r="P28" s="11">
        <v>4</v>
      </c>
    </row>
    <row r="29" spans="1:16" x14ac:dyDescent="0.25">
      <c r="A29" s="11" t="s">
        <v>347</v>
      </c>
      <c r="B29" s="11" t="s">
        <v>348</v>
      </c>
      <c r="C29" s="11" t="s">
        <v>349</v>
      </c>
      <c r="D29" s="11" t="str">
        <f>Employees_Tbl[[#This Row],[LAST]] &amp;"." &amp; Employees_Tbl[[#This Row],[FIRST]]</f>
        <v>Hawkins.Fae</v>
      </c>
      <c r="E29" s="11" t="s">
        <v>26</v>
      </c>
      <c r="F29" s="14">
        <v>42498</v>
      </c>
      <c r="G29" s="25">
        <f>YEAR(Employees_Tbl[[#This Row],[HIRE DATE]])</f>
        <v>2016</v>
      </c>
      <c r="H29" s="11" t="s">
        <v>17</v>
      </c>
      <c r="I29" s="11" t="s">
        <v>18</v>
      </c>
      <c r="J29" s="12">
        <v>102900</v>
      </c>
      <c r="K29" s="12">
        <v>2500</v>
      </c>
      <c r="L29" s="13">
        <v>0</v>
      </c>
      <c r="M29" s="13">
        <f>SUM(Employees_Tbl[[#This Row],[BASE SALARY]:[COMMISSION]])</f>
        <v>105400</v>
      </c>
      <c r="N29" s="11">
        <v>16</v>
      </c>
      <c r="O29" s="11">
        <v>4</v>
      </c>
      <c r="P29" s="11">
        <v>4</v>
      </c>
    </row>
    <row r="30" spans="1:16" x14ac:dyDescent="0.25">
      <c r="A30" s="11" t="s">
        <v>144</v>
      </c>
      <c r="B30" s="11" t="s">
        <v>1379</v>
      </c>
      <c r="C30" s="11" t="s">
        <v>145</v>
      </c>
      <c r="D30" s="11" t="str">
        <f>Employees_Tbl[[#This Row],[LAST]] &amp;"." &amp; Employees_Tbl[[#This Row],[FIRST]]</f>
        <v>Castellano.Will</v>
      </c>
      <c r="E30" s="11" t="s">
        <v>26</v>
      </c>
      <c r="F30" s="14">
        <v>41693</v>
      </c>
      <c r="G30" s="25">
        <f>YEAR(Employees_Tbl[[#This Row],[HIRE DATE]])</f>
        <v>2014</v>
      </c>
      <c r="H30" s="11" t="s">
        <v>17</v>
      </c>
      <c r="I30" s="11" t="s">
        <v>18</v>
      </c>
      <c r="J30" s="12">
        <v>86800</v>
      </c>
      <c r="K30" s="12">
        <v>3000</v>
      </c>
      <c r="L30" s="13">
        <v>0</v>
      </c>
      <c r="M30" s="13">
        <f>SUM(Employees_Tbl[[#This Row],[BASE SALARY]:[COMMISSION]])</f>
        <v>89800</v>
      </c>
      <c r="N30" s="11">
        <v>13</v>
      </c>
      <c r="O30" s="11">
        <v>5</v>
      </c>
      <c r="P30" s="11">
        <v>4</v>
      </c>
    </row>
    <row r="31" spans="1:16" x14ac:dyDescent="0.25">
      <c r="A31" s="11" t="s">
        <v>69</v>
      </c>
      <c r="B31" s="11" t="s">
        <v>70</v>
      </c>
      <c r="C31" s="11" t="s">
        <v>71</v>
      </c>
      <c r="D31" s="11" t="str">
        <f>Employees_Tbl[[#This Row],[LAST]] &amp;"." &amp; Employees_Tbl[[#This Row],[FIRST]]</f>
        <v>Boyette.Rhonda</v>
      </c>
      <c r="E31" s="11" t="s">
        <v>26</v>
      </c>
      <c r="F31" s="14">
        <v>41416</v>
      </c>
      <c r="G31" s="25">
        <f>YEAR(Employees_Tbl[[#This Row],[HIRE DATE]])</f>
        <v>2013</v>
      </c>
      <c r="H31" s="11" t="s">
        <v>17</v>
      </c>
      <c r="I31" s="11" t="s">
        <v>18</v>
      </c>
      <c r="J31" s="12">
        <v>76700</v>
      </c>
      <c r="K31" s="12">
        <v>2500</v>
      </c>
      <c r="L31" s="13">
        <v>0</v>
      </c>
      <c r="M31" s="13">
        <f>SUM(Employees_Tbl[[#This Row],[BASE SALARY]:[COMMISSION]])</f>
        <v>79200</v>
      </c>
      <c r="N31" s="11">
        <v>13</v>
      </c>
      <c r="O31" s="11">
        <v>1</v>
      </c>
      <c r="P31" s="11">
        <v>4</v>
      </c>
    </row>
    <row r="32" spans="1:16" x14ac:dyDescent="0.25">
      <c r="A32" s="11" t="s">
        <v>256</v>
      </c>
      <c r="B32" s="11" t="s">
        <v>134</v>
      </c>
      <c r="C32" s="11" t="s">
        <v>257</v>
      </c>
      <c r="D32" s="11" t="str">
        <f>Employees_Tbl[[#This Row],[LAST]] &amp;"." &amp; Employees_Tbl[[#This Row],[FIRST]]</f>
        <v>Cox.James</v>
      </c>
      <c r="E32" s="11" t="s">
        <v>26</v>
      </c>
      <c r="F32" s="14">
        <v>42323</v>
      </c>
      <c r="G32" s="25">
        <f>YEAR(Employees_Tbl[[#This Row],[HIRE DATE]])</f>
        <v>2015</v>
      </c>
      <c r="H32" s="11" t="s">
        <v>17</v>
      </c>
      <c r="I32" s="11" t="s">
        <v>18</v>
      </c>
      <c r="J32" s="12">
        <v>71400</v>
      </c>
      <c r="K32" s="12">
        <v>2500</v>
      </c>
      <c r="L32" s="13">
        <v>0</v>
      </c>
      <c r="M32" s="13">
        <f>SUM(Employees_Tbl[[#This Row],[BASE SALARY]:[COMMISSION]])</f>
        <v>73900</v>
      </c>
      <c r="N32" s="11">
        <v>13</v>
      </c>
      <c r="O32" s="11">
        <v>5</v>
      </c>
      <c r="P32" s="11">
        <v>4</v>
      </c>
    </row>
    <row r="33" spans="1:16" x14ac:dyDescent="0.25">
      <c r="A33" s="11" t="s">
        <v>872</v>
      </c>
      <c r="B33" s="11" t="s">
        <v>1351</v>
      </c>
      <c r="C33" s="11" t="s">
        <v>1195</v>
      </c>
      <c r="D33" s="11" t="str">
        <f>Employees_Tbl[[#This Row],[LAST]] &amp;"." &amp; Employees_Tbl[[#This Row],[FIRST]]</f>
        <v>Munoz.Tammy</v>
      </c>
      <c r="E33" s="11" t="s">
        <v>26</v>
      </c>
      <c r="F33" s="14">
        <v>43714</v>
      </c>
      <c r="G33" s="25">
        <f>YEAR(Employees_Tbl[[#This Row],[HIRE DATE]])</f>
        <v>2019</v>
      </c>
      <c r="H33" s="11" t="s">
        <v>17</v>
      </c>
      <c r="I33" s="11" t="s">
        <v>18</v>
      </c>
      <c r="J33" s="13">
        <v>63200</v>
      </c>
      <c r="K33" s="12">
        <v>2000</v>
      </c>
      <c r="L33" s="13">
        <v>0</v>
      </c>
      <c r="M33" s="13">
        <f>SUM(Employees_Tbl[[#This Row],[BASE SALARY]:[COMMISSION]])</f>
        <v>65200</v>
      </c>
      <c r="N33" s="11">
        <v>17</v>
      </c>
      <c r="O33" s="11">
        <v>5</v>
      </c>
      <c r="P33" s="11">
        <v>4</v>
      </c>
    </row>
    <row r="34" spans="1:16" x14ac:dyDescent="0.25">
      <c r="A34" s="11" t="s">
        <v>66</v>
      </c>
      <c r="B34" s="11" t="s">
        <v>67</v>
      </c>
      <c r="C34" s="11" t="s">
        <v>68</v>
      </c>
      <c r="D34" s="11" t="str">
        <f>Employees_Tbl[[#This Row],[LAST]] &amp;"." &amp; Employees_Tbl[[#This Row],[FIRST]]</f>
        <v>Dobbs.Michelle</v>
      </c>
      <c r="E34" s="11" t="s">
        <v>26</v>
      </c>
      <c r="F34" s="14">
        <v>41439</v>
      </c>
      <c r="G34" s="25">
        <f>YEAR(Employees_Tbl[[#This Row],[HIRE DATE]])</f>
        <v>2013</v>
      </c>
      <c r="H34" s="11" t="s">
        <v>17</v>
      </c>
      <c r="I34" s="11" t="s">
        <v>18</v>
      </c>
      <c r="J34" s="12">
        <v>57800</v>
      </c>
      <c r="K34" s="12">
        <v>1500</v>
      </c>
      <c r="L34" s="13">
        <v>0</v>
      </c>
      <c r="M34" s="13">
        <f>SUM(Employees_Tbl[[#This Row],[BASE SALARY]:[COMMISSION]])</f>
        <v>59300</v>
      </c>
      <c r="N34" s="11">
        <v>18</v>
      </c>
      <c r="O34" s="11">
        <v>4</v>
      </c>
      <c r="P34" s="11">
        <v>2</v>
      </c>
    </row>
    <row r="35" spans="1:16" x14ac:dyDescent="0.25">
      <c r="A35" s="11" t="s">
        <v>64</v>
      </c>
      <c r="B35" s="11" t="s">
        <v>24</v>
      </c>
      <c r="C35" s="11" t="s">
        <v>65</v>
      </c>
      <c r="D35" s="11" t="str">
        <f>Employees_Tbl[[#This Row],[LAST]] &amp;"." &amp; Employees_Tbl[[#This Row],[FIRST]]</f>
        <v>Shorter.Maria</v>
      </c>
      <c r="E35" s="11" t="s">
        <v>26</v>
      </c>
      <c r="F35" s="14">
        <v>41491</v>
      </c>
      <c r="G35" s="25">
        <f>YEAR(Employees_Tbl[[#This Row],[HIRE DATE]])</f>
        <v>2013</v>
      </c>
      <c r="H35" s="11" t="s">
        <v>17</v>
      </c>
      <c r="I35" s="11" t="s">
        <v>18</v>
      </c>
      <c r="J35" s="12">
        <v>56700</v>
      </c>
      <c r="K35" s="12">
        <v>1500</v>
      </c>
      <c r="L35" s="13">
        <v>0</v>
      </c>
      <c r="M35" s="13">
        <f>SUM(Employees_Tbl[[#This Row],[BASE SALARY]:[COMMISSION]])</f>
        <v>58200</v>
      </c>
      <c r="N35" s="11">
        <v>11</v>
      </c>
      <c r="O35" s="11">
        <v>2</v>
      </c>
      <c r="P35" s="11">
        <v>2</v>
      </c>
    </row>
    <row r="36" spans="1:16" x14ac:dyDescent="0.25">
      <c r="A36" s="11" t="s">
        <v>253</v>
      </c>
      <c r="B36" s="11" t="s">
        <v>254</v>
      </c>
      <c r="C36" s="11" t="s">
        <v>255</v>
      </c>
      <c r="D36" s="11" t="str">
        <f>Employees_Tbl[[#This Row],[LAST]] &amp;"." &amp; Employees_Tbl[[#This Row],[FIRST]]</f>
        <v>Sermons.Linn</v>
      </c>
      <c r="E36" s="11" t="s">
        <v>26</v>
      </c>
      <c r="F36" s="14">
        <v>42039</v>
      </c>
      <c r="G36" s="25">
        <f>YEAR(Employees_Tbl[[#This Row],[HIRE DATE]])</f>
        <v>2015</v>
      </c>
      <c r="H36" s="11" t="s">
        <v>17</v>
      </c>
      <c r="I36" s="11" t="s">
        <v>18</v>
      </c>
      <c r="J36" s="12">
        <v>56600</v>
      </c>
      <c r="K36" s="12">
        <v>1500</v>
      </c>
      <c r="L36" s="13">
        <v>0</v>
      </c>
      <c r="M36" s="13">
        <f>SUM(Employees_Tbl[[#This Row],[BASE SALARY]:[COMMISSION]])</f>
        <v>58100</v>
      </c>
      <c r="N36" s="11">
        <v>17</v>
      </c>
      <c r="O36" s="11">
        <v>4</v>
      </c>
      <c r="P36" s="11">
        <v>4</v>
      </c>
    </row>
    <row r="37" spans="1:16" x14ac:dyDescent="0.25">
      <c r="A37" s="11" t="s">
        <v>511</v>
      </c>
      <c r="B37" s="11" t="s">
        <v>512</v>
      </c>
      <c r="C37" s="11" t="s">
        <v>513</v>
      </c>
      <c r="D37" s="11" t="str">
        <f>Employees_Tbl[[#This Row],[LAST]] &amp;"." &amp; Employees_Tbl[[#This Row],[FIRST]]</f>
        <v>Spruill.Easter</v>
      </c>
      <c r="E37" s="11" t="s">
        <v>26</v>
      </c>
      <c r="F37" s="14">
        <v>42742</v>
      </c>
      <c r="G37" s="25">
        <f>YEAR(Employees_Tbl[[#This Row],[HIRE DATE]])</f>
        <v>2017</v>
      </c>
      <c r="H37" s="11" t="s">
        <v>17</v>
      </c>
      <c r="I37" s="11" t="s">
        <v>18</v>
      </c>
      <c r="J37" s="12">
        <v>55800</v>
      </c>
      <c r="K37" s="12">
        <v>1500</v>
      </c>
      <c r="L37" s="13">
        <v>0</v>
      </c>
      <c r="M37" s="13">
        <f>SUM(Employees_Tbl[[#This Row],[BASE SALARY]:[COMMISSION]])</f>
        <v>57300</v>
      </c>
      <c r="N37" s="11">
        <v>14</v>
      </c>
      <c r="O37" s="11">
        <v>4</v>
      </c>
      <c r="P37" s="11">
        <v>5</v>
      </c>
    </row>
    <row r="38" spans="1:16" x14ac:dyDescent="0.25">
      <c r="A38" s="11" t="s">
        <v>508</v>
      </c>
      <c r="B38" s="11" t="s">
        <v>509</v>
      </c>
      <c r="C38" s="11" t="s">
        <v>510</v>
      </c>
      <c r="D38" s="11" t="str">
        <f>Employees_Tbl[[#This Row],[LAST]] &amp;"." &amp; Employees_Tbl[[#This Row],[FIRST]]</f>
        <v>Lemire.Blanche</v>
      </c>
      <c r="E38" s="11" t="s">
        <v>26</v>
      </c>
      <c r="F38" s="14">
        <v>43080</v>
      </c>
      <c r="G38" s="25">
        <f>YEAR(Employees_Tbl[[#This Row],[HIRE DATE]])</f>
        <v>2017</v>
      </c>
      <c r="H38" s="11" t="s">
        <v>17</v>
      </c>
      <c r="I38" s="11" t="s">
        <v>18</v>
      </c>
      <c r="J38" s="12">
        <v>54700</v>
      </c>
      <c r="K38" s="12">
        <v>1500</v>
      </c>
      <c r="L38" s="13">
        <v>0</v>
      </c>
      <c r="M38" s="13">
        <f>SUM(Employees_Tbl[[#This Row],[BASE SALARY]:[COMMISSION]])</f>
        <v>56200</v>
      </c>
      <c r="N38" s="11">
        <v>10</v>
      </c>
      <c r="O38" s="11">
        <v>4</v>
      </c>
      <c r="P38" s="11">
        <v>5</v>
      </c>
    </row>
    <row r="39" spans="1:16" x14ac:dyDescent="0.25">
      <c r="A39" s="11" t="s">
        <v>1043</v>
      </c>
      <c r="B39" s="11" t="s">
        <v>1044</v>
      </c>
      <c r="C39" s="11" t="s">
        <v>1045</v>
      </c>
      <c r="D39" s="11" t="str">
        <f>Employees_Tbl[[#This Row],[LAST]] &amp;"." &amp; Employees_Tbl[[#This Row],[FIRST]]</f>
        <v>Mcmiller.Ramiro</v>
      </c>
      <c r="E39" s="11" t="s">
        <v>26</v>
      </c>
      <c r="F39" s="14">
        <v>43954</v>
      </c>
      <c r="G39" s="25">
        <f>YEAR(Employees_Tbl[[#This Row],[HIRE DATE]])</f>
        <v>2020</v>
      </c>
      <c r="H39" s="11" t="s">
        <v>17</v>
      </c>
      <c r="I39" s="11" t="s">
        <v>18</v>
      </c>
      <c r="J39" s="12">
        <v>53500</v>
      </c>
      <c r="K39" s="12">
        <v>1500</v>
      </c>
      <c r="L39" s="13">
        <v>0</v>
      </c>
      <c r="M39" s="13">
        <f>SUM(Employees_Tbl[[#This Row],[BASE SALARY]:[COMMISSION]])</f>
        <v>55000</v>
      </c>
      <c r="N39" s="11">
        <v>13</v>
      </c>
      <c r="O39" s="11">
        <v>4</v>
      </c>
      <c r="P39" s="11">
        <v>4</v>
      </c>
    </row>
    <row r="40" spans="1:16" x14ac:dyDescent="0.25">
      <c r="A40" s="11" t="s">
        <v>27</v>
      </c>
      <c r="B40" s="11" t="s">
        <v>28</v>
      </c>
      <c r="C40" s="11" t="s">
        <v>29</v>
      </c>
      <c r="D40" s="11" t="str">
        <f>Employees_Tbl[[#This Row],[LAST]] &amp;"." &amp; Employees_Tbl[[#This Row],[FIRST]]</f>
        <v>Saylors.Jeffery</v>
      </c>
      <c r="E40" s="11" t="s">
        <v>26</v>
      </c>
      <c r="F40" s="14">
        <v>41172</v>
      </c>
      <c r="G40" s="25">
        <f>YEAR(Employees_Tbl[[#This Row],[HIRE DATE]])</f>
        <v>2012</v>
      </c>
      <c r="H40" s="11" t="s">
        <v>17</v>
      </c>
      <c r="I40" s="11" t="s">
        <v>18</v>
      </c>
      <c r="J40" s="12">
        <v>53200</v>
      </c>
      <c r="K40" s="12">
        <v>2000</v>
      </c>
      <c r="L40" s="13">
        <v>0</v>
      </c>
      <c r="M40" s="13">
        <f>SUM(Employees_Tbl[[#This Row],[BASE SALARY]:[COMMISSION]])</f>
        <v>55200</v>
      </c>
      <c r="N40" s="11">
        <v>13</v>
      </c>
      <c r="O40" s="11">
        <v>5</v>
      </c>
      <c r="P40" s="11">
        <v>3</v>
      </c>
    </row>
    <row r="41" spans="1:16" x14ac:dyDescent="0.25">
      <c r="A41" s="11" t="s">
        <v>870</v>
      </c>
      <c r="B41" s="11" t="s">
        <v>35</v>
      </c>
      <c r="C41" s="11" t="s">
        <v>871</v>
      </c>
      <c r="D41" s="11" t="str">
        <f>Employees_Tbl[[#This Row],[LAST]] &amp;"." &amp; Employees_Tbl[[#This Row],[FIRST]]</f>
        <v>Reeder.Charles</v>
      </c>
      <c r="E41" s="11" t="s">
        <v>26</v>
      </c>
      <c r="F41" s="14">
        <v>43578</v>
      </c>
      <c r="G41" s="25">
        <f>YEAR(Employees_Tbl[[#This Row],[HIRE DATE]])</f>
        <v>2019</v>
      </c>
      <c r="H41" s="11" t="s">
        <v>17</v>
      </c>
      <c r="I41" s="11" t="s">
        <v>18</v>
      </c>
      <c r="J41" s="12">
        <v>44000</v>
      </c>
      <c r="K41" s="12">
        <v>1500</v>
      </c>
      <c r="L41" s="13">
        <v>0</v>
      </c>
      <c r="M41" s="13">
        <f>SUM(Employees_Tbl[[#This Row],[BASE SALARY]:[COMMISSION]])</f>
        <v>45500</v>
      </c>
      <c r="N41" s="11">
        <v>15</v>
      </c>
      <c r="O41" s="11">
        <v>6</v>
      </c>
      <c r="P41" s="11">
        <v>4</v>
      </c>
    </row>
    <row r="42" spans="1:16" x14ac:dyDescent="0.25">
      <c r="A42" s="11" t="s">
        <v>61</v>
      </c>
      <c r="B42" s="11" t="s">
        <v>62</v>
      </c>
      <c r="C42" s="11" t="s">
        <v>63</v>
      </c>
      <c r="D42" s="11" t="str">
        <f>Employees_Tbl[[#This Row],[LAST]] &amp;"." &amp; Employees_Tbl[[#This Row],[FIRST]]</f>
        <v>Shuler.Stephen</v>
      </c>
      <c r="E42" s="11" t="s">
        <v>26</v>
      </c>
      <c r="F42" s="14">
        <v>41629</v>
      </c>
      <c r="G42" s="25">
        <f>YEAR(Employees_Tbl[[#This Row],[HIRE DATE]])</f>
        <v>2013</v>
      </c>
      <c r="H42" s="11" t="s">
        <v>17</v>
      </c>
      <c r="I42" s="11" t="s">
        <v>18</v>
      </c>
      <c r="J42" s="12">
        <v>43300</v>
      </c>
      <c r="K42" s="12">
        <v>1000</v>
      </c>
      <c r="L42" s="13">
        <v>0</v>
      </c>
      <c r="M42" s="13">
        <f>SUM(Employees_Tbl[[#This Row],[BASE SALARY]:[COMMISSION]])</f>
        <v>44300</v>
      </c>
      <c r="N42" s="11">
        <v>14</v>
      </c>
      <c r="O42" s="11">
        <v>4</v>
      </c>
      <c r="P42" s="11">
        <v>5</v>
      </c>
    </row>
    <row r="43" spans="1:16" x14ac:dyDescent="0.25">
      <c r="A43" s="11" t="s">
        <v>505</v>
      </c>
      <c r="B43" s="11" t="s">
        <v>506</v>
      </c>
      <c r="C43" s="11" t="s">
        <v>507</v>
      </c>
      <c r="D43" s="11" t="str">
        <f>Employees_Tbl[[#This Row],[LAST]] &amp;"." &amp; Employees_Tbl[[#This Row],[FIRST]]</f>
        <v>Shannon.Otilia</v>
      </c>
      <c r="E43" s="11" t="s">
        <v>26</v>
      </c>
      <c r="F43" s="14">
        <v>42858</v>
      </c>
      <c r="G43" s="25">
        <f>YEAR(Employees_Tbl[[#This Row],[HIRE DATE]])</f>
        <v>2017</v>
      </c>
      <c r="H43" s="11" t="s">
        <v>17</v>
      </c>
      <c r="I43" s="11" t="s">
        <v>18</v>
      </c>
      <c r="J43" s="12">
        <v>41700</v>
      </c>
      <c r="K43" s="12">
        <v>1000</v>
      </c>
      <c r="L43" s="13">
        <v>0</v>
      </c>
      <c r="M43" s="13">
        <f>SUM(Employees_Tbl[[#This Row],[BASE SALARY]:[COMMISSION]])</f>
        <v>42700</v>
      </c>
      <c r="N43" s="11">
        <v>17</v>
      </c>
      <c r="O43" s="11">
        <v>5</v>
      </c>
      <c r="P43" s="11">
        <v>4</v>
      </c>
    </row>
    <row r="44" spans="1:16" x14ac:dyDescent="0.25">
      <c r="A44" s="11" t="s">
        <v>251</v>
      </c>
      <c r="B44" s="11" t="s">
        <v>223</v>
      </c>
      <c r="C44" s="11" t="s">
        <v>252</v>
      </c>
      <c r="D44" s="11" t="str">
        <f>Employees_Tbl[[#This Row],[LAST]] &amp;"." &amp; Employees_Tbl[[#This Row],[FIRST]]</f>
        <v>Griffith.Michael</v>
      </c>
      <c r="E44" s="11" t="s">
        <v>26</v>
      </c>
      <c r="F44" s="14">
        <v>42047</v>
      </c>
      <c r="G44" s="25">
        <f>YEAR(Employees_Tbl[[#This Row],[HIRE DATE]])</f>
        <v>2015</v>
      </c>
      <c r="H44" s="11" t="s">
        <v>17</v>
      </c>
      <c r="I44" s="11" t="s">
        <v>18</v>
      </c>
      <c r="J44" s="12">
        <v>40400</v>
      </c>
      <c r="K44" s="12">
        <v>1000</v>
      </c>
      <c r="L44" s="13">
        <v>0</v>
      </c>
      <c r="M44" s="13">
        <f>SUM(Employees_Tbl[[#This Row],[BASE SALARY]:[COMMISSION]])</f>
        <v>41400</v>
      </c>
      <c r="N44" s="11">
        <v>14</v>
      </c>
      <c r="O44" s="11">
        <v>7</v>
      </c>
      <c r="P44" s="11">
        <v>5</v>
      </c>
    </row>
    <row r="45" spans="1:16" x14ac:dyDescent="0.25">
      <c r="A45" s="11" t="s">
        <v>23</v>
      </c>
      <c r="B45" s="11" t="s">
        <v>24</v>
      </c>
      <c r="C45" s="11" t="s">
        <v>25</v>
      </c>
      <c r="D45" s="11" t="str">
        <f>Employees_Tbl[[#This Row],[LAST]] &amp;"." &amp; Employees_Tbl[[#This Row],[FIRST]]</f>
        <v>Sanders.Maria</v>
      </c>
      <c r="E45" s="11" t="s">
        <v>26</v>
      </c>
      <c r="F45" s="14">
        <v>41000</v>
      </c>
      <c r="G45" s="25">
        <f>YEAR(Employees_Tbl[[#This Row],[HIRE DATE]])</f>
        <v>2012</v>
      </c>
      <c r="H45" s="11" t="s">
        <v>17</v>
      </c>
      <c r="I45" s="11" t="s">
        <v>18</v>
      </c>
      <c r="J45" s="12">
        <v>28200</v>
      </c>
      <c r="K45" s="12">
        <v>1000</v>
      </c>
      <c r="L45" s="13">
        <v>0</v>
      </c>
      <c r="M45" s="13">
        <f>SUM(Employees_Tbl[[#This Row],[BASE SALARY]:[COMMISSION]])</f>
        <v>29200</v>
      </c>
      <c r="N45" s="11">
        <v>13</v>
      </c>
      <c r="O45" s="11">
        <v>6</v>
      </c>
      <c r="P45" s="11">
        <v>4</v>
      </c>
    </row>
    <row r="46" spans="1:16" x14ac:dyDescent="0.25">
      <c r="A46" s="11" t="s">
        <v>149</v>
      </c>
      <c r="B46" s="11" t="s">
        <v>150</v>
      </c>
      <c r="C46" s="11" t="s">
        <v>151</v>
      </c>
      <c r="D46" s="11" t="str">
        <f>Employees_Tbl[[#This Row],[LAST]] &amp;"." &amp; Employees_Tbl[[#This Row],[FIRST]]</f>
        <v>Knotts.Carmine</v>
      </c>
      <c r="E46" s="11" t="s">
        <v>33</v>
      </c>
      <c r="F46" s="14">
        <v>41659</v>
      </c>
      <c r="G46" s="25">
        <f>YEAR(Employees_Tbl[[#This Row],[HIRE DATE]])</f>
        <v>2014</v>
      </c>
      <c r="H46" s="11" t="s">
        <v>17</v>
      </c>
      <c r="I46" s="11" t="s">
        <v>18</v>
      </c>
      <c r="J46" s="12">
        <v>116200</v>
      </c>
      <c r="K46" s="12">
        <v>3000</v>
      </c>
      <c r="L46" s="13">
        <v>0</v>
      </c>
      <c r="M46" s="13">
        <f>SUM(Employees_Tbl[[#This Row],[BASE SALARY]:[COMMISSION]])</f>
        <v>119200</v>
      </c>
      <c r="N46" s="11">
        <v>18</v>
      </c>
      <c r="O46" s="11">
        <v>2</v>
      </c>
      <c r="P46" s="11">
        <v>4</v>
      </c>
    </row>
    <row r="47" spans="1:16" x14ac:dyDescent="0.25">
      <c r="A47" s="11" t="s">
        <v>874</v>
      </c>
      <c r="B47" s="11" t="s">
        <v>875</v>
      </c>
      <c r="C47" s="11" t="s">
        <v>123</v>
      </c>
      <c r="D47" s="11" t="str">
        <f>Employees_Tbl[[#This Row],[LAST]] &amp;"." &amp; Employees_Tbl[[#This Row],[FIRST]]</f>
        <v>Garcia.Herbert</v>
      </c>
      <c r="E47" s="11" t="s">
        <v>33</v>
      </c>
      <c r="F47" s="14">
        <v>43480</v>
      </c>
      <c r="G47" s="25">
        <f>YEAR(Employees_Tbl[[#This Row],[HIRE DATE]])</f>
        <v>2019</v>
      </c>
      <c r="H47" s="11" t="s">
        <v>17</v>
      </c>
      <c r="I47" s="11" t="s">
        <v>18</v>
      </c>
      <c r="J47" s="12">
        <v>73600</v>
      </c>
      <c r="K47" s="12">
        <v>2500</v>
      </c>
      <c r="L47" s="13">
        <v>0</v>
      </c>
      <c r="M47" s="13">
        <f>SUM(Employees_Tbl[[#This Row],[BASE SALARY]:[COMMISSION]])</f>
        <v>76100</v>
      </c>
      <c r="N47" s="11">
        <v>17</v>
      </c>
      <c r="O47" s="11">
        <v>4</v>
      </c>
      <c r="P47" s="11">
        <v>4</v>
      </c>
    </row>
    <row r="48" spans="1:16" x14ac:dyDescent="0.25">
      <c r="A48" s="11" t="s">
        <v>146</v>
      </c>
      <c r="B48" s="11" t="s">
        <v>147</v>
      </c>
      <c r="C48" s="11" t="s">
        <v>148</v>
      </c>
      <c r="D48" s="11" t="str">
        <f>Employees_Tbl[[#This Row],[LAST]] &amp;"." &amp; Employees_Tbl[[#This Row],[FIRST]]</f>
        <v>Holt.Tina</v>
      </c>
      <c r="E48" s="11" t="s">
        <v>33</v>
      </c>
      <c r="F48" s="14">
        <v>41801</v>
      </c>
      <c r="G48" s="25">
        <f>YEAR(Employees_Tbl[[#This Row],[HIRE DATE]])</f>
        <v>2014</v>
      </c>
      <c r="H48" s="11" t="s">
        <v>17</v>
      </c>
      <c r="I48" s="11" t="s">
        <v>18</v>
      </c>
      <c r="J48" s="12">
        <v>72000</v>
      </c>
      <c r="K48" s="12">
        <v>2500</v>
      </c>
      <c r="L48" s="13">
        <v>0</v>
      </c>
      <c r="M48" s="13">
        <f>SUM(Employees_Tbl[[#This Row],[BASE SALARY]:[COMMISSION]])</f>
        <v>74500</v>
      </c>
      <c r="N48" s="11">
        <v>15</v>
      </c>
      <c r="O48" s="11">
        <v>3</v>
      </c>
      <c r="P48" s="11">
        <v>5</v>
      </c>
    </row>
    <row r="49" spans="1:16" x14ac:dyDescent="0.25">
      <c r="A49" s="11" t="s">
        <v>1047</v>
      </c>
      <c r="B49" s="11" t="s">
        <v>316</v>
      </c>
      <c r="C49" s="11" t="s">
        <v>940</v>
      </c>
      <c r="D49" s="11" t="str">
        <f>Employees_Tbl[[#This Row],[LAST]] &amp;"." &amp; Employees_Tbl[[#This Row],[FIRST]]</f>
        <v>Lee.Anita</v>
      </c>
      <c r="E49" s="11" t="s">
        <v>33</v>
      </c>
      <c r="F49" s="14">
        <v>43871</v>
      </c>
      <c r="G49" s="25">
        <f>YEAR(Employees_Tbl[[#This Row],[HIRE DATE]])</f>
        <v>2020</v>
      </c>
      <c r="H49" s="11" t="s">
        <v>17</v>
      </c>
      <c r="I49" s="11" t="s">
        <v>18</v>
      </c>
      <c r="J49" s="12">
        <v>68500</v>
      </c>
      <c r="K49" s="12">
        <v>2000</v>
      </c>
      <c r="L49" s="13">
        <v>0</v>
      </c>
      <c r="M49" s="13">
        <f>SUM(Employees_Tbl[[#This Row],[BASE SALARY]:[COMMISSION]])</f>
        <v>70500</v>
      </c>
      <c r="N49" s="11">
        <v>17</v>
      </c>
      <c r="O49" s="11">
        <v>4</v>
      </c>
      <c r="P49" s="11">
        <v>4</v>
      </c>
    </row>
    <row r="50" spans="1:16" x14ac:dyDescent="0.25">
      <c r="A50" s="11" t="s">
        <v>1046</v>
      </c>
      <c r="B50" s="11" t="s">
        <v>1020</v>
      </c>
      <c r="C50" s="11" t="s">
        <v>271</v>
      </c>
      <c r="D50" s="11" t="str">
        <f>Employees_Tbl[[#This Row],[LAST]] &amp;"." &amp; Employees_Tbl[[#This Row],[FIRST]]</f>
        <v>Smith.Willie</v>
      </c>
      <c r="E50" s="11" t="s">
        <v>33</v>
      </c>
      <c r="F50" s="14">
        <v>44165</v>
      </c>
      <c r="G50" s="25">
        <f>YEAR(Employees_Tbl[[#This Row],[HIRE DATE]])</f>
        <v>2020</v>
      </c>
      <c r="H50" s="11" t="s">
        <v>17</v>
      </c>
      <c r="I50" s="11" t="s">
        <v>18</v>
      </c>
      <c r="J50" s="12">
        <v>60700</v>
      </c>
      <c r="K50" s="12">
        <v>2000</v>
      </c>
      <c r="L50" s="13">
        <v>0</v>
      </c>
      <c r="M50" s="13">
        <f>SUM(Employees_Tbl[[#This Row],[BASE SALARY]:[COMMISSION]])</f>
        <v>62700</v>
      </c>
      <c r="N50" s="11">
        <v>16</v>
      </c>
      <c r="O50" s="11">
        <v>4</v>
      </c>
      <c r="P50" s="11">
        <v>4</v>
      </c>
    </row>
    <row r="51" spans="1:16" x14ac:dyDescent="0.25">
      <c r="A51" s="11" t="s">
        <v>674</v>
      </c>
      <c r="B51" s="11" t="s">
        <v>316</v>
      </c>
      <c r="C51" s="11" t="s">
        <v>675</v>
      </c>
      <c r="D51" s="11" t="str">
        <f>Employees_Tbl[[#This Row],[LAST]] &amp;"." &amp; Employees_Tbl[[#This Row],[FIRST]]</f>
        <v>Modzelewski.Anita</v>
      </c>
      <c r="E51" s="11" t="s">
        <v>33</v>
      </c>
      <c r="F51" s="14">
        <v>43397</v>
      </c>
      <c r="G51" s="25">
        <f>YEAR(Employees_Tbl[[#This Row],[HIRE DATE]])</f>
        <v>2018</v>
      </c>
      <c r="H51" s="11" t="s">
        <v>17</v>
      </c>
      <c r="I51" s="11" t="s">
        <v>18</v>
      </c>
      <c r="J51" s="12">
        <v>59600</v>
      </c>
      <c r="K51" s="12">
        <v>1500</v>
      </c>
      <c r="L51" s="13">
        <v>0</v>
      </c>
      <c r="M51" s="13">
        <f>SUM(Employees_Tbl[[#This Row],[BASE SALARY]:[COMMISSION]])</f>
        <v>61100</v>
      </c>
      <c r="N51" s="11">
        <v>16</v>
      </c>
      <c r="O51" s="11">
        <v>4</v>
      </c>
      <c r="P51" s="11">
        <v>3</v>
      </c>
    </row>
    <row r="52" spans="1:16" x14ac:dyDescent="0.25">
      <c r="A52" s="11" t="s">
        <v>30</v>
      </c>
      <c r="B52" s="11" t="s">
        <v>31</v>
      </c>
      <c r="C52" s="11" t="s">
        <v>32</v>
      </c>
      <c r="D52" s="11" t="str">
        <f>Employees_Tbl[[#This Row],[LAST]] &amp;"." &amp; Employees_Tbl[[#This Row],[FIRST]]</f>
        <v>Sample.Kelly</v>
      </c>
      <c r="E52" s="11" t="s">
        <v>33</v>
      </c>
      <c r="F52" s="14">
        <v>41136</v>
      </c>
      <c r="G52" s="25">
        <f>YEAR(Employees_Tbl[[#This Row],[HIRE DATE]])</f>
        <v>2012</v>
      </c>
      <c r="H52" s="11" t="s">
        <v>17</v>
      </c>
      <c r="I52" s="11" t="s">
        <v>18</v>
      </c>
      <c r="J52" s="12">
        <v>46900</v>
      </c>
      <c r="K52" s="12">
        <v>1500</v>
      </c>
      <c r="L52" s="13">
        <v>0</v>
      </c>
      <c r="M52" s="13">
        <f>SUM(Employees_Tbl[[#This Row],[BASE SALARY]:[COMMISSION]])</f>
        <v>48400</v>
      </c>
      <c r="N52" s="11">
        <v>11</v>
      </c>
      <c r="O52" s="11">
        <v>3</v>
      </c>
      <c r="P52" s="11">
        <v>5</v>
      </c>
    </row>
    <row r="53" spans="1:16" x14ac:dyDescent="0.25">
      <c r="A53" s="11" t="s">
        <v>873</v>
      </c>
      <c r="B53" s="11" t="s">
        <v>213</v>
      </c>
      <c r="C53" s="11" t="s">
        <v>327</v>
      </c>
      <c r="D53" s="11" t="str">
        <f>Employees_Tbl[[#This Row],[LAST]] &amp;"." &amp; Employees_Tbl[[#This Row],[FIRST]]</f>
        <v>Rodriguez.Joyce</v>
      </c>
      <c r="E53" s="11" t="s">
        <v>33</v>
      </c>
      <c r="F53" s="14">
        <v>43808</v>
      </c>
      <c r="G53" s="25">
        <f>YEAR(Employees_Tbl[[#This Row],[HIRE DATE]])</f>
        <v>2019</v>
      </c>
      <c r="H53" s="11" t="s">
        <v>17</v>
      </c>
      <c r="I53" s="11" t="s">
        <v>18</v>
      </c>
      <c r="J53" s="12">
        <v>30300</v>
      </c>
      <c r="K53" s="12">
        <v>1000</v>
      </c>
      <c r="L53" s="13">
        <v>0</v>
      </c>
      <c r="M53" s="13">
        <f>SUM(Employees_Tbl[[#This Row],[BASE SALARY]:[COMMISSION]])</f>
        <v>31300</v>
      </c>
      <c r="N53" s="11">
        <v>10</v>
      </c>
      <c r="O53" s="11">
        <v>4</v>
      </c>
      <c r="P53" s="11">
        <v>5</v>
      </c>
    </row>
    <row r="54" spans="1:16" x14ac:dyDescent="0.25">
      <c r="A54" s="11" t="s">
        <v>876</v>
      </c>
      <c r="B54" s="11" t="s">
        <v>877</v>
      </c>
      <c r="C54" s="11" t="s">
        <v>878</v>
      </c>
      <c r="D54" s="11" t="str">
        <f>Employees_Tbl[[#This Row],[LAST]] &amp;"." &amp; Employees_Tbl[[#This Row],[FIRST]]</f>
        <v>Parris.Carlos</v>
      </c>
      <c r="E54" s="11" t="s">
        <v>37</v>
      </c>
      <c r="F54" s="14">
        <v>43478</v>
      </c>
      <c r="G54" s="25">
        <f>YEAR(Employees_Tbl[[#This Row],[HIRE DATE]])</f>
        <v>2019</v>
      </c>
      <c r="H54" s="11" t="s">
        <v>17</v>
      </c>
      <c r="I54" s="11" t="s">
        <v>18</v>
      </c>
      <c r="J54" s="12">
        <v>117000</v>
      </c>
      <c r="K54" s="12">
        <v>3000</v>
      </c>
      <c r="L54" s="13">
        <v>0</v>
      </c>
      <c r="M54" s="13">
        <f>SUM(Employees_Tbl[[#This Row],[BASE SALARY]:[COMMISSION]])</f>
        <v>120000</v>
      </c>
      <c r="N54" s="11">
        <v>12</v>
      </c>
      <c r="O54" s="11">
        <v>8</v>
      </c>
      <c r="P54" s="11">
        <v>2</v>
      </c>
    </row>
    <row r="55" spans="1:16" x14ac:dyDescent="0.25">
      <c r="A55" s="11" t="s">
        <v>78</v>
      </c>
      <c r="B55" s="11" t="s">
        <v>79</v>
      </c>
      <c r="C55" s="11" t="s">
        <v>80</v>
      </c>
      <c r="D55" s="11" t="str">
        <f>Employees_Tbl[[#This Row],[LAST]] &amp;"." &amp; Employees_Tbl[[#This Row],[FIRST]]</f>
        <v>Roden.Rita</v>
      </c>
      <c r="E55" s="11" t="s">
        <v>37</v>
      </c>
      <c r="F55" s="14">
        <v>41415</v>
      </c>
      <c r="G55" s="25">
        <f>YEAR(Employees_Tbl[[#This Row],[HIRE DATE]])</f>
        <v>2013</v>
      </c>
      <c r="H55" s="11" t="s">
        <v>17</v>
      </c>
      <c r="I55" s="11" t="s">
        <v>18</v>
      </c>
      <c r="J55" s="12">
        <v>112800</v>
      </c>
      <c r="K55" s="12">
        <v>4500</v>
      </c>
      <c r="L55" s="13">
        <v>0</v>
      </c>
      <c r="M55" s="13">
        <f>SUM(Employees_Tbl[[#This Row],[BASE SALARY]:[COMMISSION]])</f>
        <v>117300</v>
      </c>
      <c r="N55" s="11">
        <v>14</v>
      </c>
      <c r="O55" s="11">
        <v>8</v>
      </c>
      <c r="P55" s="11">
        <v>3</v>
      </c>
    </row>
    <row r="56" spans="1:16" x14ac:dyDescent="0.25">
      <c r="A56" s="11" t="s">
        <v>354</v>
      </c>
      <c r="B56" s="11" t="s">
        <v>355</v>
      </c>
      <c r="C56" s="11" t="s">
        <v>356</v>
      </c>
      <c r="D56" s="11" t="str">
        <f>Employees_Tbl[[#This Row],[LAST]] &amp;"." &amp; Employees_Tbl[[#This Row],[FIRST]]</f>
        <v>Burroughs.Margaret</v>
      </c>
      <c r="E56" s="11" t="s">
        <v>37</v>
      </c>
      <c r="F56" s="14">
        <v>42471</v>
      </c>
      <c r="G56" s="25">
        <f>YEAR(Employees_Tbl[[#This Row],[HIRE DATE]])</f>
        <v>2016</v>
      </c>
      <c r="H56" s="11" t="s">
        <v>17</v>
      </c>
      <c r="I56" s="11" t="s">
        <v>18</v>
      </c>
      <c r="J56" s="12">
        <v>102400</v>
      </c>
      <c r="K56" s="12">
        <v>3500</v>
      </c>
      <c r="L56" s="13">
        <v>0</v>
      </c>
      <c r="M56" s="13">
        <f>SUM(Employees_Tbl[[#This Row],[BASE SALARY]:[COMMISSION]])</f>
        <v>105900</v>
      </c>
      <c r="N56" s="11">
        <v>14</v>
      </c>
      <c r="O56" s="11">
        <v>7</v>
      </c>
      <c r="P56" s="11">
        <v>5</v>
      </c>
    </row>
    <row r="57" spans="1:16" x14ac:dyDescent="0.25">
      <c r="A57" s="11" t="s">
        <v>1050</v>
      </c>
      <c r="B57" s="11" t="s">
        <v>830</v>
      </c>
      <c r="C57" s="11" t="s">
        <v>1051</v>
      </c>
      <c r="D57" s="11" t="str">
        <f>Employees_Tbl[[#This Row],[LAST]] &amp;"." &amp; Employees_Tbl[[#This Row],[FIRST]]</f>
        <v>Olvera.Joseph</v>
      </c>
      <c r="E57" s="11" t="s">
        <v>37</v>
      </c>
      <c r="F57" s="14">
        <v>43933</v>
      </c>
      <c r="G57" s="25">
        <f>YEAR(Employees_Tbl[[#This Row],[HIRE DATE]])</f>
        <v>2020</v>
      </c>
      <c r="H57" s="11" t="s">
        <v>17</v>
      </c>
      <c r="I57" s="11" t="s">
        <v>18</v>
      </c>
      <c r="J57" s="12">
        <v>99700</v>
      </c>
      <c r="K57" s="12">
        <v>2500</v>
      </c>
      <c r="L57" s="13">
        <v>0</v>
      </c>
      <c r="M57" s="13">
        <f>SUM(Employees_Tbl[[#This Row],[BASE SALARY]:[COMMISSION]])</f>
        <v>102200</v>
      </c>
      <c r="N57" s="11">
        <v>17</v>
      </c>
      <c r="O57" s="11">
        <v>14</v>
      </c>
      <c r="P57" s="11">
        <v>3</v>
      </c>
    </row>
    <row r="58" spans="1:16" x14ac:dyDescent="0.25">
      <c r="A58" s="11" t="s">
        <v>1048</v>
      </c>
      <c r="B58" s="11" t="s">
        <v>79</v>
      </c>
      <c r="C58" s="11" t="s">
        <v>1049</v>
      </c>
      <c r="D58" s="11" t="str">
        <f>Employees_Tbl[[#This Row],[LAST]] &amp;"." &amp; Employees_Tbl[[#This Row],[FIRST]]</f>
        <v>Samuel.Rita</v>
      </c>
      <c r="E58" s="11" t="s">
        <v>37</v>
      </c>
      <c r="F58" s="14">
        <v>44015</v>
      </c>
      <c r="G58" s="25">
        <f>YEAR(Employees_Tbl[[#This Row],[HIRE DATE]])</f>
        <v>2020</v>
      </c>
      <c r="H58" s="11" t="s">
        <v>17</v>
      </c>
      <c r="I58" s="11" t="s">
        <v>18</v>
      </c>
      <c r="J58" s="12">
        <v>96300</v>
      </c>
      <c r="K58" s="12">
        <v>2000</v>
      </c>
      <c r="L58" s="13">
        <v>0</v>
      </c>
      <c r="M58" s="13">
        <f>SUM(Employees_Tbl[[#This Row],[BASE SALARY]:[COMMISSION]])</f>
        <v>98300</v>
      </c>
      <c r="N58" s="11">
        <v>14</v>
      </c>
      <c r="O58" s="11">
        <v>7</v>
      </c>
      <c r="P58" s="11">
        <v>5</v>
      </c>
    </row>
    <row r="59" spans="1:16" x14ac:dyDescent="0.25">
      <c r="A59" s="11" t="s">
        <v>523</v>
      </c>
      <c r="B59" s="11" t="s">
        <v>524</v>
      </c>
      <c r="C59" s="11" t="s">
        <v>525</v>
      </c>
      <c r="D59" s="11" t="str">
        <f>Employees_Tbl[[#This Row],[LAST]] &amp;"." &amp; Employees_Tbl[[#This Row],[FIRST]]</f>
        <v>Dix.Myrtle</v>
      </c>
      <c r="E59" s="11" t="s">
        <v>37</v>
      </c>
      <c r="F59" s="14">
        <v>43097</v>
      </c>
      <c r="G59" s="25">
        <f>YEAR(Employees_Tbl[[#This Row],[HIRE DATE]])</f>
        <v>2017</v>
      </c>
      <c r="H59" s="11" t="s">
        <v>17</v>
      </c>
      <c r="I59" s="11" t="s">
        <v>18</v>
      </c>
      <c r="J59" s="12">
        <v>94000</v>
      </c>
      <c r="K59" s="12">
        <v>3000</v>
      </c>
      <c r="L59" s="13">
        <v>0</v>
      </c>
      <c r="M59" s="13">
        <f>SUM(Employees_Tbl[[#This Row],[BASE SALARY]:[COMMISSION]])</f>
        <v>97000</v>
      </c>
      <c r="N59" s="11">
        <v>15</v>
      </c>
      <c r="O59" s="11">
        <v>3</v>
      </c>
      <c r="P59" s="11">
        <v>2</v>
      </c>
    </row>
    <row r="60" spans="1:16" x14ac:dyDescent="0.25">
      <c r="A60" s="11" t="s">
        <v>34</v>
      </c>
      <c r="B60" s="11" t="s">
        <v>35</v>
      </c>
      <c r="C60" s="11" t="s">
        <v>36</v>
      </c>
      <c r="D60" s="11" t="str">
        <f>Employees_Tbl[[#This Row],[LAST]] &amp;"." &amp; Employees_Tbl[[#This Row],[FIRST]]</f>
        <v>Mandel.Charles</v>
      </c>
      <c r="E60" s="11" t="s">
        <v>37</v>
      </c>
      <c r="F60" s="14">
        <v>41075</v>
      </c>
      <c r="G60" s="25">
        <f>YEAR(Employees_Tbl[[#This Row],[HIRE DATE]])</f>
        <v>2012</v>
      </c>
      <c r="H60" s="11" t="s">
        <v>17</v>
      </c>
      <c r="I60" s="11" t="s">
        <v>18</v>
      </c>
      <c r="J60" s="12">
        <v>89100</v>
      </c>
      <c r="K60" s="12">
        <v>3000</v>
      </c>
      <c r="L60" s="13">
        <v>0</v>
      </c>
      <c r="M60" s="13">
        <f>SUM(Employees_Tbl[[#This Row],[BASE SALARY]:[COMMISSION]])</f>
        <v>92100</v>
      </c>
      <c r="N60" s="11">
        <v>10</v>
      </c>
      <c r="O60" s="11">
        <v>5</v>
      </c>
      <c r="P60" s="11">
        <v>2</v>
      </c>
    </row>
    <row r="61" spans="1:16" x14ac:dyDescent="0.25">
      <c r="A61" s="11" t="s">
        <v>258</v>
      </c>
      <c r="B61" s="11" t="s">
        <v>1382</v>
      </c>
      <c r="C61" s="11" t="s">
        <v>1383</v>
      </c>
      <c r="D61" s="11" t="str">
        <f>Employees_Tbl[[#This Row],[LAST]] &amp;"." &amp; Employees_Tbl[[#This Row],[FIRST]]</f>
        <v>Jwa.An</v>
      </c>
      <c r="E61" s="11" t="s">
        <v>37</v>
      </c>
      <c r="F61" s="14">
        <v>42163</v>
      </c>
      <c r="G61" s="25">
        <f>YEAR(Employees_Tbl[[#This Row],[HIRE DATE]])</f>
        <v>2015</v>
      </c>
      <c r="H61" s="11" t="s">
        <v>17</v>
      </c>
      <c r="I61" s="11" t="s">
        <v>18</v>
      </c>
      <c r="J61" s="12">
        <v>86100</v>
      </c>
      <c r="K61" s="12">
        <v>3000</v>
      </c>
      <c r="L61" s="13">
        <v>0</v>
      </c>
      <c r="M61" s="13">
        <f>SUM(Employees_Tbl[[#This Row],[BASE SALARY]:[COMMISSION]])</f>
        <v>89100</v>
      </c>
      <c r="N61" s="11">
        <v>17</v>
      </c>
      <c r="O61" s="11">
        <v>8</v>
      </c>
      <c r="P61" s="11">
        <v>4</v>
      </c>
    </row>
    <row r="62" spans="1:16" x14ac:dyDescent="0.25">
      <c r="A62" s="11" t="s">
        <v>75</v>
      </c>
      <c r="B62" s="11" t="s">
        <v>76</v>
      </c>
      <c r="C62" s="11" t="s">
        <v>77</v>
      </c>
      <c r="D62" s="11" t="str">
        <f>Employees_Tbl[[#This Row],[LAST]] &amp;"." &amp; Employees_Tbl[[#This Row],[FIRST]]</f>
        <v>Noll.Sterling</v>
      </c>
      <c r="E62" s="11" t="s">
        <v>37</v>
      </c>
      <c r="F62" s="14">
        <v>41375</v>
      </c>
      <c r="G62" s="25">
        <f>YEAR(Employees_Tbl[[#This Row],[HIRE DATE]])</f>
        <v>2013</v>
      </c>
      <c r="H62" s="11" t="s">
        <v>17</v>
      </c>
      <c r="I62" s="11" t="s">
        <v>18</v>
      </c>
      <c r="J62" s="12">
        <v>85100</v>
      </c>
      <c r="K62" s="12">
        <v>3000</v>
      </c>
      <c r="L62" s="13">
        <v>0</v>
      </c>
      <c r="M62" s="13">
        <f>SUM(Employees_Tbl[[#This Row],[BASE SALARY]:[COMMISSION]])</f>
        <v>88100</v>
      </c>
      <c r="N62" s="11">
        <v>15</v>
      </c>
      <c r="O62" s="11">
        <v>4</v>
      </c>
      <c r="P62" s="11">
        <v>4</v>
      </c>
    </row>
    <row r="63" spans="1:16" x14ac:dyDescent="0.25">
      <c r="A63" s="11" t="s">
        <v>352</v>
      </c>
      <c r="B63" s="11" t="s">
        <v>94</v>
      </c>
      <c r="C63" s="11" t="s">
        <v>353</v>
      </c>
      <c r="D63" s="11" t="str">
        <f>Employees_Tbl[[#This Row],[LAST]] &amp;"." &amp; Employees_Tbl[[#This Row],[FIRST]]</f>
        <v>Lebeau.John</v>
      </c>
      <c r="E63" s="11" t="s">
        <v>37</v>
      </c>
      <c r="F63" s="14">
        <v>42566</v>
      </c>
      <c r="G63" s="25">
        <f>YEAR(Employees_Tbl[[#This Row],[HIRE DATE]])</f>
        <v>2016</v>
      </c>
      <c r="H63" s="11" t="s">
        <v>17</v>
      </c>
      <c r="I63" s="11" t="s">
        <v>18</v>
      </c>
      <c r="J63" s="12">
        <v>81700</v>
      </c>
      <c r="K63" s="12">
        <v>2500</v>
      </c>
      <c r="L63" s="13">
        <v>0</v>
      </c>
      <c r="M63" s="13">
        <f>SUM(Employees_Tbl[[#This Row],[BASE SALARY]:[COMMISSION]])</f>
        <v>84200</v>
      </c>
      <c r="N63" s="11">
        <v>12</v>
      </c>
      <c r="O63" s="11">
        <v>10</v>
      </c>
      <c r="P63" s="11">
        <v>3</v>
      </c>
    </row>
    <row r="64" spans="1:16" x14ac:dyDescent="0.25">
      <c r="A64" s="11" t="s">
        <v>520</v>
      </c>
      <c r="B64" s="11" t="s">
        <v>521</v>
      </c>
      <c r="C64" s="11" t="s">
        <v>522</v>
      </c>
      <c r="D64" s="11" t="str">
        <f>Employees_Tbl[[#This Row],[LAST]] &amp;"." &amp; Employees_Tbl[[#This Row],[FIRST]]</f>
        <v>Bullock.Marco</v>
      </c>
      <c r="E64" s="11" t="s">
        <v>37</v>
      </c>
      <c r="F64" s="14">
        <v>42929</v>
      </c>
      <c r="G64" s="25">
        <f>YEAR(Employees_Tbl[[#This Row],[HIRE DATE]])</f>
        <v>2017</v>
      </c>
      <c r="H64" s="11" t="s">
        <v>17</v>
      </c>
      <c r="I64" s="11" t="s">
        <v>18</v>
      </c>
      <c r="J64" s="12">
        <v>61300</v>
      </c>
      <c r="K64" s="12">
        <v>2000</v>
      </c>
      <c r="L64" s="13">
        <v>0</v>
      </c>
      <c r="M64" s="13">
        <f>SUM(Employees_Tbl[[#This Row],[BASE SALARY]:[COMMISSION]])</f>
        <v>63300</v>
      </c>
      <c r="N64" s="11">
        <v>17</v>
      </c>
      <c r="O64" s="11">
        <v>7</v>
      </c>
      <c r="P64" s="11">
        <v>4</v>
      </c>
    </row>
    <row r="65" spans="1:16" x14ac:dyDescent="0.25">
      <c r="A65" s="11" t="s">
        <v>517</v>
      </c>
      <c r="B65" s="11" t="s">
        <v>518</v>
      </c>
      <c r="C65" s="11" t="s">
        <v>519</v>
      </c>
      <c r="D65" s="11" t="str">
        <f>Employees_Tbl[[#This Row],[LAST]] &amp;"." &amp; Employees_Tbl[[#This Row],[FIRST]]</f>
        <v>Oliver.Sherry</v>
      </c>
      <c r="E65" s="11" t="s">
        <v>37</v>
      </c>
      <c r="F65" s="14">
        <v>42854</v>
      </c>
      <c r="G65" s="25">
        <f>YEAR(Employees_Tbl[[#This Row],[HIRE DATE]])</f>
        <v>2017</v>
      </c>
      <c r="H65" s="11" t="s">
        <v>17</v>
      </c>
      <c r="I65" s="11" t="s">
        <v>18</v>
      </c>
      <c r="J65" s="12">
        <v>54300</v>
      </c>
      <c r="K65" s="12">
        <v>1500</v>
      </c>
      <c r="L65" s="13">
        <v>0</v>
      </c>
      <c r="M65" s="13">
        <f>SUM(Employees_Tbl[[#This Row],[BASE SALARY]:[COMMISSION]])</f>
        <v>55800</v>
      </c>
      <c r="N65" s="11">
        <v>10</v>
      </c>
      <c r="O65" s="11">
        <v>8</v>
      </c>
      <c r="P65" s="11">
        <v>5</v>
      </c>
    </row>
    <row r="66" spans="1:16" x14ac:dyDescent="0.25">
      <c r="A66" s="11" t="s">
        <v>514</v>
      </c>
      <c r="B66" s="11" t="s">
        <v>515</v>
      </c>
      <c r="C66" s="11" t="s">
        <v>516</v>
      </c>
      <c r="D66" s="11" t="str">
        <f>Employees_Tbl[[#This Row],[LAST]] &amp;"." &amp; Employees_Tbl[[#This Row],[FIRST]]</f>
        <v>Hickman.George</v>
      </c>
      <c r="E66" s="11" t="s">
        <v>37</v>
      </c>
      <c r="F66" s="14">
        <v>43100</v>
      </c>
      <c r="G66" s="25">
        <f>YEAR(Employees_Tbl[[#This Row],[HIRE DATE]])</f>
        <v>2017</v>
      </c>
      <c r="H66" s="11" t="s">
        <v>17</v>
      </c>
      <c r="I66" s="11" t="s">
        <v>18</v>
      </c>
      <c r="J66" s="12">
        <v>50900</v>
      </c>
      <c r="K66" s="12">
        <v>1500</v>
      </c>
      <c r="L66" s="13">
        <v>0</v>
      </c>
      <c r="M66" s="13">
        <f>SUM(Employees_Tbl[[#This Row],[BASE SALARY]:[COMMISSION]])</f>
        <v>52400</v>
      </c>
      <c r="N66" s="11">
        <v>17</v>
      </c>
      <c r="O66" s="11">
        <v>4</v>
      </c>
      <c r="P66" s="11">
        <v>4</v>
      </c>
    </row>
    <row r="67" spans="1:16" x14ac:dyDescent="0.25">
      <c r="A67" s="11" t="s">
        <v>350</v>
      </c>
      <c r="B67" s="11" t="s">
        <v>82</v>
      </c>
      <c r="C67" s="11" t="s">
        <v>351</v>
      </c>
      <c r="D67" s="11" t="str">
        <f>Employees_Tbl[[#This Row],[LAST]] &amp;"." &amp; Employees_Tbl[[#This Row],[FIRST]]</f>
        <v>Barrett.Paul</v>
      </c>
      <c r="E67" s="11" t="s">
        <v>37</v>
      </c>
      <c r="F67" s="14">
        <v>42617</v>
      </c>
      <c r="G67" s="25">
        <f>YEAR(Employees_Tbl[[#This Row],[HIRE DATE]])</f>
        <v>2016</v>
      </c>
      <c r="H67" s="11" t="s">
        <v>17</v>
      </c>
      <c r="I67" s="11" t="s">
        <v>18</v>
      </c>
      <c r="J67" s="12">
        <v>43300</v>
      </c>
      <c r="K67" s="12">
        <v>1500</v>
      </c>
      <c r="L67" s="13">
        <v>0</v>
      </c>
      <c r="M67" s="13">
        <f>SUM(Employees_Tbl[[#This Row],[BASE SALARY]:[COMMISSION]])</f>
        <v>44800</v>
      </c>
      <c r="N67" s="11">
        <v>12</v>
      </c>
      <c r="O67" s="11">
        <v>1</v>
      </c>
      <c r="P67" s="11">
        <v>5</v>
      </c>
    </row>
    <row r="68" spans="1:16" x14ac:dyDescent="0.25">
      <c r="A68" s="11" t="s">
        <v>152</v>
      </c>
      <c r="B68" s="11" t="s">
        <v>153</v>
      </c>
      <c r="C68" s="11" t="s">
        <v>103</v>
      </c>
      <c r="D68" s="11" t="str">
        <f>Employees_Tbl[[#This Row],[LAST]] &amp;"." &amp; Employees_Tbl[[#This Row],[FIRST]]</f>
        <v>Thomas.Katherine</v>
      </c>
      <c r="E68" s="11" t="s">
        <v>37</v>
      </c>
      <c r="F68" s="14">
        <v>41937</v>
      </c>
      <c r="G68" s="25">
        <f>YEAR(Employees_Tbl[[#This Row],[HIRE DATE]])</f>
        <v>2014</v>
      </c>
      <c r="H68" s="11" t="s">
        <v>17</v>
      </c>
      <c r="I68" s="11" t="s">
        <v>18</v>
      </c>
      <c r="J68" s="12">
        <v>43000</v>
      </c>
      <c r="K68" s="12">
        <v>1500</v>
      </c>
      <c r="L68" s="13">
        <v>0</v>
      </c>
      <c r="M68" s="13">
        <f>SUM(Employees_Tbl[[#This Row],[BASE SALARY]:[COMMISSION]])</f>
        <v>44500</v>
      </c>
      <c r="N68" s="11">
        <v>16</v>
      </c>
      <c r="O68" s="11">
        <v>4</v>
      </c>
      <c r="P68" s="11">
        <v>4</v>
      </c>
    </row>
    <row r="69" spans="1:16" x14ac:dyDescent="0.25">
      <c r="A69" s="11" t="s">
        <v>72</v>
      </c>
      <c r="B69" s="11" t="s">
        <v>73</v>
      </c>
      <c r="C69" s="11" t="s">
        <v>74</v>
      </c>
      <c r="D69" s="11" t="str">
        <f>Employees_Tbl[[#This Row],[LAST]] &amp;"." &amp; Employees_Tbl[[#This Row],[FIRST]]</f>
        <v>Robinson.Deanna</v>
      </c>
      <c r="E69" s="11" t="s">
        <v>37</v>
      </c>
      <c r="F69" s="14">
        <v>41495</v>
      </c>
      <c r="G69" s="25">
        <f>YEAR(Employees_Tbl[[#This Row],[HIRE DATE]])</f>
        <v>2013</v>
      </c>
      <c r="H69" s="11" t="s">
        <v>17</v>
      </c>
      <c r="I69" s="11" t="s">
        <v>18</v>
      </c>
      <c r="J69" s="12">
        <v>41700</v>
      </c>
      <c r="K69" s="12">
        <v>1000</v>
      </c>
      <c r="L69" s="13">
        <v>0</v>
      </c>
      <c r="M69" s="13">
        <f>SUM(Employees_Tbl[[#This Row],[BASE SALARY]:[COMMISSION]])</f>
        <v>42700</v>
      </c>
      <c r="N69" s="11">
        <v>14</v>
      </c>
      <c r="O69" s="11">
        <v>14</v>
      </c>
      <c r="P69" s="11">
        <v>3</v>
      </c>
    </row>
    <row r="70" spans="1:16" x14ac:dyDescent="0.25">
      <c r="A70" s="11" t="s">
        <v>84</v>
      </c>
      <c r="B70" s="11" t="s">
        <v>85</v>
      </c>
      <c r="C70" s="11" t="s">
        <v>86</v>
      </c>
      <c r="D70" s="11" t="str">
        <f>Employees_Tbl[[#This Row],[LAST]] &amp;"." &amp; Employees_Tbl[[#This Row],[FIRST]]</f>
        <v>Harris.Doris</v>
      </c>
      <c r="E70" s="11" t="s">
        <v>41</v>
      </c>
      <c r="F70" s="14">
        <v>41304</v>
      </c>
      <c r="G70" s="25">
        <f>YEAR(Employees_Tbl[[#This Row],[HIRE DATE]])</f>
        <v>2013</v>
      </c>
      <c r="H70" s="11" t="s">
        <v>17</v>
      </c>
      <c r="I70" s="11" t="s">
        <v>18</v>
      </c>
      <c r="J70" s="12">
        <v>97300</v>
      </c>
      <c r="K70" s="12">
        <v>3000</v>
      </c>
      <c r="L70" s="13">
        <v>0</v>
      </c>
      <c r="M70" s="13">
        <f>SUM(Employees_Tbl[[#This Row],[BASE SALARY]:[COMMISSION]])</f>
        <v>100300</v>
      </c>
      <c r="N70" s="11">
        <v>10</v>
      </c>
      <c r="O70" s="11">
        <v>8</v>
      </c>
      <c r="P70" s="11">
        <v>3</v>
      </c>
    </row>
    <row r="71" spans="1:16" x14ac:dyDescent="0.25">
      <c r="A71" s="11" t="s">
        <v>38</v>
      </c>
      <c r="B71" s="11" t="s">
        <v>39</v>
      </c>
      <c r="C71" s="11" t="s">
        <v>40</v>
      </c>
      <c r="D71" s="11" t="str">
        <f>Employees_Tbl[[#This Row],[LAST]] &amp;"." &amp; Employees_Tbl[[#This Row],[FIRST]]</f>
        <v>Rojas.Ann</v>
      </c>
      <c r="E71" s="11" t="s">
        <v>41</v>
      </c>
      <c r="F71" s="14">
        <v>41000</v>
      </c>
      <c r="G71" s="25">
        <f>YEAR(Employees_Tbl[[#This Row],[HIRE DATE]])</f>
        <v>2012</v>
      </c>
      <c r="H71" s="11" t="s">
        <v>17</v>
      </c>
      <c r="I71" s="11" t="s">
        <v>18</v>
      </c>
      <c r="J71" s="12">
        <v>94400</v>
      </c>
      <c r="K71" s="12">
        <v>3000</v>
      </c>
      <c r="L71" s="13">
        <v>0</v>
      </c>
      <c r="M71" s="13">
        <f>SUM(Employees_Tbl[[#This Row],[BASE SALARY]:[COMMISSION]])</f>
        <v>97400</v>
      </c>
      <c r="N71" s="11">
        <v>14</v>
      </c>
      <c r="O71" s="11">
        <v>4</v>
      </c>
      <c r="P71" s="11">
        <v>2</v>
      </c>
    </row>
    <row r="72" spans="1:16" x14ac:dyDescent="0.25">
      <c r="A72" s="11" t="s">
        <v>163</v>
      </c>
      <c r="B72" s="11" t="s">
        <v>158</v>
      </c>
      <c r="C72" s="11" t="s">
        <v>164</v>
      </c>
      <c r="D72" s="11" t="str">
        <f>Employees_Tbl[[#This Row],[LAST]] &amp;"." &amp; Employees_Tbl[[#This Row],[FIRST]]</f>
        <v>Vick.Amanda</v>
      </c>
      <c r="E72" s="11" t="s">
        <v>41</v>
      </c>
      <c r="F72" s="14">
        <v>41896</v>
      </c>
      <c r="G72" s="25">
        <f>YEAR(Employees_Tbl[[#This Row],[HIRE DATE]])</f>
        <v>2014</v>
      </c>
      <c r="H72" s="11" t="s">
        <v>17</v>
      </c>
      <c r="I72" s="11" t="s">
        <v>18</v>
      </c>
      <c r="J72" s="12">
        <v>73200</v>
      </c>
      <c r="K72" s="12">
        <v>2000</v>
      </c>
      <c r="L72" s="13">
        <v>0</v>
      </c>
      <c r="M72" s="13">
        <f>SUM(Employees_Tbl[[#This Row],[BASE SALARY]:[COMMISSION]])</f>
        <v>75200</v>
      </c>
      <c r="N72" s="11">
        <v>17</v>
      </c>
      <c r="O72" s="11">
        <v>7</v>
      </c>
      <c r="P72" s="11">
        <v>5</v>
      </c>
    </row>
    <row r="73" spans="1:16" x14ac:dyDescent="0.25">
      <c r="A73" s="11" t="s">
        <v>1052</v>
      </c>
      <c r="B73" s="11" t="s">
        <v>103</v>
      </c>
      <c r="C73" s="11" t="s">
        <v>373</v>
      </c>
      <c r="D73" s="11" t="str">
        <f>Employees_Tbl[[#This Row],[LAST]] &amp;"." &amp; Employees_Tbl[[#This Row],[FIRST]]</f>
        <v>Martin.Thomas</v>
      </c>
      <c r="E73" s="11" t="s">
        <v>41</v>
      </c>
      <c r="F73" s="14">
        <v>43959</v>
      </c>
      <c r="G73" s="25">
        <f>YEAR(Employees_Tbl[[#This Row],[HIRE DATE]])</f>
        <v>2020</v>
      </c>
      <c r="H73" s="11" t="s">
        <v>17</v>
      </c>
      <c r="I73" s="11" t="s">
        <v>18</v>
      </c>
      <c r="J73" s="12">
        <v>71100</v>
      </c>
      <c r="K73" s="12">
        <v>2000</v>
      </c>
      <c r="L73" s="13">
        <v>0</v>
      </c>
      <c r="M73" s="13">
        <f>SUM(Employees_Tbl[[#This Row],[BASE SALARY]:[COMMISSION]])</f>
        <v>73100</v>
      </c>
      <c r="N73" s="11">
        <v>18</v>
      </c>
      <c r="O73" s="11">
        <v>11</v>
      </c>
      <c r="P73" s="11">
        <v>5</v>
      </c>
    </row>
    <row r="74" spans="1:16" x14ac:dyDescent="0.25">
      <c r="A74" s="11" t="s">
        <v>160</v>
      </c>
      <c r="B74" s="11" t="s">
        <v>161</v>
      </c>
      <c r="C74" s="11" t="s">
        <v>162</v>
      </c>
      <c r="D74" s="11" t="str">
        <f>Employees_Tbl[[#This Row],[LAST]] &amp;"." &amp; Employees_Tbl[[#This Row],[FIRST]]</f>
        <v>Dougherty.Melissa</v>
      </c>
      <c r="E74" s="11" t="s">
        <v>41</v>
      </c>
      <c r="F74" s="14">
        <v>41850</v>
      </c>
      <c r="G74" s="25">
        <f>YEAR(Employees_Tbl[[#This Row],[HIRE DATE]])</f>
        <v>2014</v>
      </c>
      <c r="H74" s="11" t="s">
        <v>17</v>
      </c>
      <c r="I74" s="11" t="s">
        <v>18</v>
      </c>
      <c r="J74" s="12">
        <v>66300</v>
      </c>
      <c r="K74" s="12">
        <v>2000</v>
      </c>
      <c r="L74" s="13">
        <v>0</v>
      </c>
      <c r="M74" s="13">
        <f>SUM(Employees_Tbl[[#This Row],[BASE SALARY]:[COMMISSION]])</f>
        <v>68300</v>
      </c>
      <c r="N74" s="11">
        <v>15</v>
      </c>
      <c r="O74" s="11">
        <v>8</v>
      </c>
      <c r="P74" s="11">
        <v>2</v>
      </c>
    </row>
    <row r="75" spans="1:16" x14ac:dyDescent="0.25">
      <c r="A75" s="11" t="s">
        <v>526</v>
      </c>
      <c r="B75" s="11" t="s">
        <v>1335</v>
      </c>
      <c r="C75" s="11" t="s">
        <v>1336</v>
      </c>
      <c r="D75" s="11" t="str">
        <f>Employees_Tbl[[#This Row],[LAST]] &amp;"." &amp; Employees_Tbl[[#This Row],[FIRST]]</f>
        <v>Chaney.Ferdinand</v>
      </c>
      <c r="E75" s="11" t="s">
        <v>41</v>
      </c>
      <c r="F75" s="14">
        <v>42933</v>
      </c>
      <c r="G75" s="25">
        <f>YEAR(Employees_Tbl[[#This Row],[HIRE DATE]])</f>
        <v>2017</v>
      </c>
      <c r="H75" s="11" t="s">
        <v>17</v>
      </c>
      <c r="I75" s="11" t="s">
        <v>18</v>
      </c>
      <c r="J75" s="13">
        <v>64100</v>
      </c>
      <c r="K75" s="12">
        <v>2500</v>
      </c>
      <c r="L75" s="13">
        <v>0</v>
      </c>
      <c r="M75" s="13">
        <f>SUM(Employees_Tbl[[#This Row],[BASE SALARY]:[COMMISSION]])</f>
        <v>66600</v>
      </c>
      <c r="N75" s="11">
        <v>12</v>
      </c>
      <c r="O75" s="11">
        <v>7</v>
      </c>
      <c r="P75" s="11">
        <v>5</v>
      </c>
    </row>
    <row r="76" spans="1:16" x14ac:dyDescent="0.25">
      <c r="A76" s="11" t="s">
        <v>157</v>
      </c>
      <c r="B76" s="11" t="s">
        <v>158</v>
      </c>
      <c r="C76" s="11" t="s">
        <v>159</v>
      </c>
      <c r="D76" s="11" t="str">
        <f>Employees_Tbl[[#This Row],[LAST]] &amp;"." &amp; Employees_Tbl[[#This Row],[FIRST]]</f>
        <v>Jones.Amanda</v>
      </c>
      <c r="E76" s="11" t="s">
        <v>41</v>
      </c>
      <c r="F76" s="14">
        <v>41721</v>
      </c>
      <c r="G76" s="25">
        <f>YEAR(Employees_Tbl[[#This Row],[HIRE DATE]])</f>
        <v>2014</v>
      </c>
      <c r="H76" s="11" t="s">
        <v>17</v>
      </c>
      <c r="I76" s="11" t="s">
        <v>18</v>
      </c>
      <c r="J76" s="12">
        <v>57400</v>
      </c>
      <c r="K76" s="12">
        <v>1000</v>
      </c>
      <c r="L76" s="13">
        <v>0</v>
      </c>
      <c r="M76" s="13">
        <f>SUM(Employees_Tbl[[#This Row],[BASE SALARY]:[COMMISSION]])</f>
        <v>58400</v>
      </c>
      <c r="N76" s="11">
        <v>16</v>
      </c>
      <c r="O76" s="11">
        <v>8</v>
      </c>
      <c r="P76" s="11">
        <v>4</v>
      </c>
    </row>
    <row r="77" spans="1:16" x14ac:dyDescent="0.25">
      <c r="A77" s="11" t="s">
        <v>154</v>
      </c>
      <c r="B77" s="11" t="s">
        <v>155</v>
      </c>
      <c r="C77" s="11" t="s">
        <v>156</v>
      </c>
      <c r="D77" s="11" t="str">
        <f>Employees_Tbl[[#This Row],[LAST]] &amp;"." &amp; Employees_Tbl[[#This Row],[FIRST]]</f>
        <v>Grady.Eric</v>
      </c>
      <c r="E77" s="11" t="s">
        <v>41</v>
      </c>
      <c r="F77" s="14">
        <v>41869</v>
      </c>
      <c r="G77" s="25">
        <f>YEAR(Employees_Tbl[[#This Row],[HIRE DATE]])</f>
        <v>2014</v>
      </c>
      <c r="H77" s="11" t="s">
        <v>17</v>
      </c>
      <c r="I77" s="11" t="s">
        <v>18</v>
      </c>
      <c r="J77" s="12">
        <v>54500</v>
      </c>
      <c r="K77" s="12">
        <v>1500</v>
      </c>
      <c r="L77" s="13">
        <v>0</v>
      </c>
      <c r="M77" s="13">
        <f>SUM(Employees_Tbl[[#This Row],[BASE SALARY]:[COMMISSION]])</f>
        <v>56000</v>
      </c>
      <c r="N77" s="11">
        <v>17</v>
      </c>
      <c r="O77" s="11">
        <v>2</v>
      </c>
      <c r="P77" s="11">
        <v>3</v>
      </c>
    </row>
    <row r="78" spans="1:16" x14ac:dyDescent="0.25">
      <c r="A78" s="11" t="s">
        <v>676</v>
      </c>
      <c r="B78" s="11" t="s">
        <v>677</v>
      </c>
      <c r="C78" s="11" t="s">
        <v>678</v>
      </c>
      <c r="D78" s="11" t="str">
        <f>Employees_Tbl[[#This Row],[LAST]] &amp;"." &amp; Employees_Tbl[[#This Row],[FIRST]]</f>
        <v>Hiatt.Diane</v>
      </c>
      <c r="E78" s="11" t="s">
        <v>41</v>
      </c>
      <c r="F78" s="14">
        <v>43153</v>
      </c>
      <c r="G78" s="25">
        <f>YEAR(Employees_Tbl[[#This Row],[HIRE DATE]])</f>
        <v>2018</v>
      </c>
      <c r="H78" s="11" t="s">
        <v>17</v>
      </c>
      <c r="I78" s="11" t="s">
        <v>18</v>
      </c>
      <c r="J78" s="12">
        <v>50900</v>
      </c>
      <c r="K78" s="12">
        <v>1500</v>
      </c>
      <c r="L78" s="13">
        <v>0</v>
      </c>
      <c r="M78" s="13">
        <f>SUM(Employees_Tbl[[#This Row],[BASE SALARY]:[COMMISSION]])</f>
        <v>52400</v>
      </c>
      <c r="N78" s="11">
        <v>15</v>
      </c>
      <c r="O78" s="11">
        <v>9</v>
      </c>
      <c r="P78" s="11">
        <v>5</v>
      </c>
    </row>
    <row r="79" spans="1:16" x14ac:dyDescent="0.25">
      <c r="A79" s="11" t="s">
        <v>262</v>
      </c>
      <c r="B79" s="11" t="s">
        <v>247</v>
      </c>
      <c r="C79" s="11" t="s">
        <v>263</v>
      </c>
      <c r="D79" s="11" t="str">
        <f>Employees_Tbl[[#This Row],[LAST]] &amp;"." &amp; Employees_Tbl[[#This Row],[FIRST]]</f>
        <v>Mansfield.Matthew</v>
      </c>
      <c r="E79" s="11" t="s">
        <v>41</v>
      </c>
      <c r="F79" s="14">
        <v>42111</v>
      </c>
      <c r="G79" s="25">
        <f>YEAR(Employees_Tbl[[#This Row],[HIRE DATE]])</f>
        <v>2015</v>
      </c>
      <c r="H79" s="11" t="s">
        <v>17</v>
      </c>
      <c r="I79" s="11" t="s">
        <v>18</v>
      </c>
      <c r="J79" s="12">
        <v>49100</v>
      </c>
      <c r="K79" s="12">
        <v>1500</v>
      </c>
      <c r="L79" s="13">
        <v>0</v>
      </c>
      <c r="M79" s="13">
        <f>SUM(Employees_Tbl[[#This Row],[BASE SALARY]:[COMMISSION]])</f>
        <v>50600</v>
      </c>
      <c r="N79" s="11">
        <v>12</v>
      </c>
      <c r="O79" s="11">
        <v>7</v>
      </c>
      <c r="P79" s="11">
        <v>4</v>
      </c>
    </row>
    <row r="80" spans="1:16" x14ac:dyDescent="0.25">
      <c r="A80" s="11" t="s">
        <v>259</v>
      </c>
      <c r="B80" s="11" t="s">
        <v>260</v>
      </c>
      <c r="C80" s="11" t="s">
        <v>261</v>
      </c>
      <c r="D80" s="11" t="str">
        <f>Employees_Tbl[[#This Row],[LAST]] &amp;"." &amp; Employees_Tbl[[#This Row],[FIRST]]</f>
        <v>Tufts.Bradley</v>
      </c>
      <c r="E80" s="11" t="s">
        <v>41</v>
      </c>
      <c r="F80" s="14">
        <v>42282</v>
      </c>
      <c r="G80" s="25">
        <f>YEAR(Employees_Tbl[[#This Row],[HIRE DATE]])</f>
        <v>2015</v>
      </c>
      <c r="H80" s="11" t="s">
        <v>17</v>
      </c>
      <c r="I80" s="11" t="s">
        <v>18</v>
      </c>
      <c r="J80" s="12">
        <v>33800</v>
      </c>
      <c r="K80" s="12">
        <v>500</v>
      </c>
      <c r="L80" s="13">
        <v>0</v>
      </c>
      <c r="M80" s="13">
        <f>SUM(Employees_Tbl[[#This Row],[BASE SALARY]:[COMMISSION]])</f>
        <v>34300</v>
      </c>
      <c r="N80" s="11">
        <v>15</v>
      </c>
      <c r="O80" s="11">
        <v>1</v>
      </c>
      <c r="P80" s="11">
        <v>3</v>
      </c>
    </row>
    <row r="81" spans="1:16" x14ac:dyDescent="0.25">
      <c r="A81" s="11" t="s">
        <v>81</v>
      </c>
      <c r="B81" s="11" t="s">
        <v>82</v>
      </c>
      <c r="C81" s="11" t="s">
        <v>83</v>
      </c>
      <c r="D81" s="11" t="str">
        <f>Employees_Tbl[[#This Row],[LAST]] &amp;"." &amp; Employees_Tbl[[#This Row],[FIRST]]</f>
        <v>Havens.Paul</v>
      </c>
      <c r="E81" s="11" t="s">
        <v>41</v>
      </c>
      <c r="F81" s="14">
        <v>41471</v>
      </c>
      <c r="G81" s="25">
        <f>YEAR(Employees_Tbl[[#This Row],[HIRE DATE]])</f>
        <v>2013</v>
      </c>
      <c r="H81" s="11" t="s">
        <v>17</v>
      </c>
      <c r="I81" s="11" t="s">
        <v>18</v>
      </c>
      <c r="J81" s="12">
        <v>31500</v>
      </c>
      <c r="K81" s="12">
        <v>1000</v>
      </c>
      <c r="L81" s="13">
        <v>0</v>
      </c>
      <c r="M81" s="13">
        <f>SUM(Employees_Tbl[[#This Row],[BASE SALARY]:[COMMISSION]])</f>
        <v>32500</v>
      </c>
      <c r="N81" s="11">
        <v>15</v>
      </c>
      <c r="O81" s="11">
        <v>9</v>
      </c>
      <c r="P81" s="11">
        <v>5</v>
      </c>
    </row>
    <row r="82" spans="1:16" x14ac:dyDescent="0.25">
      <c r="A82" s="11" t="s">
        <v>1300</v>
      </c>
      <c r="B82" s="11" t="s">
        <v>536</v>
      </c>
      <c r="C82" s="11" t="s">
        <v>537</v>
      </c>
      <c r="D82" s="11" t="str">
        <f>Employees_Tbl[[#This Row],[LAST]] &amp;"." &amp; Employees_Tbl[[#This Row],[FIRST]]</f>
        <v>Corcoran.Edna</v>
      </c>
      <c r="E82" s="11" t="s">
        <v>45</v>
      </c>
      <c r="F82" s="14">
        <v>42768</v>
      </c>
      <c r="G82" s="25">
        <f>YEAR(Employees_Tbl[[#This Row],[HIRE DATE]])</f>
        <v>2017</v>
      </c>
      <c r="H82" s="11" t="s">
        <v>17</v>
      </c>
      <c r="I82" s="11" t="s">
        <v>18</v>
      </c>
      <c r="J82" s="12">
        <v>108900</v>
      </c>
      <c r="K82" s="12">
        <v>3000</v>
      </c>
      <c r="L82" s="13">
        <v>0</v>
      </c>
      <c r="M82" s="13">
        <f>SUM(Employees_Tbl[[#This Row],[BASE SALARY]:[COMMISSION]])</f>
        <v>111900</v>
      </c>
      <c r="N82" s="11">
        <v>13</v>
      </c>
      <c r="O82" s="11">
        <v>6</v>
      </c>
      <c r="P82" s="11">
        <v>4</v>
      </c>
    </row>
    <row r="83" spans="1:16" x14ac:dyDescent="0.25">
      <c r="A83" s="11" t="s">
        <v>93</v>
      </c>
      <c r="B83" s="11" t="s">
        <v>94</v>
      </c>
      <c r="C83" s="11" t="s">
        <v>95</v>
      </c>
      <c r="D83" s="11" t="str">
        <f>Employees_Tbl[[#This Row],[LAST]] &amp;"." &amp; Employees_Tbl[[#This Row],[FIRST]]</f>
        <v>Junior.John</v>
      </c>
      <c r="E83" s="11" t="s">
        <v>45</v>
      </c>
      <c r="F83" s="14">
        <v>41310</v>
      </c>
      <c r="G83" s="25">
        <f>YEAR(Employees_Tbl[[#This Row],[HIRE DATE]])</f>
        <v>2013</v>
      </c>
      <c r="H83" s="11" t="s">
        <v>17</v>
      </c>
      <c r="I83" s="11" t="s">
        <v>18</v>
      </c>
      <c r="J83" s="12">
        <v>97900</v>
      </c>
      <c r="K83" s="12">
        <v>3000</v>
      </c>
      <c r="L83" s="13">
        <v>0</v>
      </c>
      <c r="M83" s="13">
        <f>SUM(Employees_Tbl[[#This Row],[BASE SALARY]:[COMMISSION]])</f>
        <v>100900</v>
      </c>
      <c r="N83" s="11">
        <v>18</v>
      </c>
      <c r="O83" s="11">
        <v>5</v>
      </c>
      <c r="P83" s="11">
        <v>5</v>
      </c>
    </row>
    <row r="84" spans="1:16" x14ac:dyDescent="0.25">
      <c r="A84" s="11" t="s">
        <v>532</v>
      </c>
      <c r="B84" s="11" t="s">
        <v>533</v>
      </c>
      <c r="C84" s="11" t="s">
        <v>534</v>
      </c>
      <c r="D84" s="11" t="str">
        <f>Employees_Tbl[[#This Row],[LAST]] &amp;"." &amp; Employees_Tbl[[#This Row],[FIRST]]</f>
        <v>Barton.Jaclyn</v>
      </c>
      <c r="E84" s="11" t="s">
        <v>45</v>
      </c>
      <c r="F84" s="14">
        <v>42749</v>
      </c>
      <c r="G84" s="25">
        <f>YEAR(Employees_Tbl[[#This Row],[HIRE DATE]])</f>
        <v>2017</v>
      </c>
      <c r="H84" s="11" t="s">
        <v>17</v>
      </c>
      <c r="I84" s="11" t="s">
        <v>18</v>
      </c>
      <c r="J84" s="12">
        <v>84400</v>
      </c>
      <c r="K84" s="12">
        <v>2500</v>
      </c>
      <c r="L84" s="13">
        <v>0</v>
      </c>
      <c r="M84" s="13">
        <f>SUM(Employees_Tbl[[#This Row],[BASE SALARY]:[COMMISSION]])</f>
        <v>86900</v>
      </c>
      <c r="N84" s="11">
        <v>13</v>
      </c>
      <c r="O84" s="11">
        <v>7</v>
      </c>
      <c r="P84" s="11">
        <v>5</v>
      </c>
    </row>
    <row r="85" spans="1:16" x14ac:dyDescent="0.25">
      <c r="A85" s="11" t="s">
        <v>529</v>
      </c>
      <c r="B85" s="11" t="s">
        <v>530</v>
      </c>
      <c r="C85" s="11" t="s">
        <v>531</v>
      </c>
      <c r="D85" s="11" t="str">
        <f>Employees_Tbl[[#This Row],[LAST]] &amp;"." &amp; Employees_Tbl[[#This Row],[FIRST]]</f>
        <v>Clemmer.Hector</v>
      </c>
      <c r="E85" s="11" t="s">
        <v>45</v>
      </c>
      <c r="F85" s="14">
        <v>42939</v>
      </c>
      <c r="G85" s="25">
        <f>YEAR(Employees_Tbl[[#This Row],[HIRE DATE]])</f>
        <v>2017</v>
      </c>
      <c r="H85" s="11" t="s">
        <v>17</v>
      </c>
      <c r="I85" s="11" t="s">
        <v>18</v>
      </c>
      <c r="J85" s="12">
        <v>77400</v>
      </c>
      <c r="K85" s="12">
        <v>3000</v>
      </c>
      <c r="L85" s="13">
        <v>0</v>
      </c>
      <c r="M85" s="13">
        <f>SUM(Employees_Tbl[[#This Row],[BASE SALARY]:[COMMISSION]])</f>
        <v>80400</v>
      </c>
      <c r="N85" s="11">
        <v>15</v>
      </c>
      <c r="O85" s="11">
        <v>5</v>
      </c>
      <c r="P85" s="11">
        <v>4</v>
      </c>
    </row>
    <row r="86" spans="1:16" x14ac:dyDescent="0.25">
      <c r="A86" s="11" t="s">
        <v>527</v>
      </c>
      <c r="B86" s="11" t="s">
        <v>241</v>
      </c>
      <c r="C86" s="11" t="s">
        <v>528</v>
      </c>
      <c r="D86" s="11" t="str">
        <f>Employees_Tbl[[#This Row],[LAST]] &amp;"." &amp; Employees_Tbl[[#This Row],[FIRST]]</f>
        <v>Collinsworth.Brian</v>
      </c>
      <c r="E86" s="11" t="s">
        <v>45</v>
      </c>
      <c r="F86" s="14">
        <v>43019</v>
      </c>
      <c r="G86" s="25">
        <f>YEAR(Employees_Tbl[[#This Row],[HIRE DATE]])</f>
        <v>2017</v>
      </c>
      <c r="H86" s="11" t="s">
        <v>17</v>
      </c>
      <c r="I86" s="11" t="s">
        <v>18</v>
      </c>
      <c r="J86" s="12">
        <v>72800</v>
      </c>
      <c r="K86" s="12">
        <v>2500</v>
      </c>
      <c r="L86" s="13">
        <v>0</v>
      </c>
      <c r="M86" s="13">
        <f>SUM(Employees_Tbl[[#This Row],[BASE SALARY]:[COMMISSION]])</f>
        <v>75300</v>
      </c>
      <c r="N86" s="11">
        <v>14</v>
      </c>
      <c r="O86" s="11">
        <v>7</v>
      </c>
      <c r="P86" s="11">
        <v>4</v>
      </c>
    </row>
    <row r="87" spans="1:16" x14ac:dyDescent="0.25">
      <c r="A87" s="11" t="s">
        <v>90</v>
      </c>
      <c r="B87" s="11" t="s">
        <v>91</v>
      </c>
      <c r="C87" s="11" t="s">
        <v>92</v>
      </c>
      <c r="D87" s="11" t="str">
        <f>Employees_Tbl[[#This Row],[LAST]] &amp;"." &amp; Employees_Tbl[[#This Row],[FIRST]]</f>
        <v>Helton.Robert</v>
      </c>
      <c r="E87" s="11" t="s">
        <v>45</v>
      </c>
      <c r="F87" s="14">
        <v>41584</v>
      </c>
      <c r="G87" s="25">
        <f>YEAR(Employees_Tbl[[#This Row],[HIRE DATE]])</f>
        <v>2013</v>
      </c>
      <c r="H87" s="11" t="s">
        <v>17</v>
      </c>
      <c r="I87" s="11" t="s">
        <v>18</v>
      </c>
      <c r="J87" s="12">
        <v>67800</v>
      </c>
      <c r="K87" s="12">
        <v>1500</v>
      </c>
      <c r="L87" s="13">
        <v>0</v>
      </c>
      <c r="M87" s="13">
        <f>SUM(Employees_Tbl[[#This Row],[BASE SALARY]:[COMMISSION]])</f>
        <v>69300</v>
      </c>
      <c r="N87" s="11">
        <v>14</v>
      </c>
      <c r="O87" s="11">
        <v>5</v>
      </c>
      <c r="P87" s="11">
        <v>4</v>
      </c>
    </row>
    <row r="88" spans="1:16" x14ac:dyDescent="0.25">
      <c r="A88" s="11" t="s">
        <v>267</v>
      </c>
      <c r="B88" s="11" t="s">
        <v>268</v>
      </c>
      <c r="C88" s="11" t="s">
        <v>269</v>
      </c>
      <c r="D88" s="11" t="str">
        <f>Employees_Tbl[[#This Row],[LAST]] &amp;"." &amp; Employees_Tbl[[#This Row],[FIRST]]</f>
        <v>Whitlatch.David</v>
      </c>
      <c r="E88" s="11" t="s">
        <v>45</v>
      </c>
      <c r="F88" s="14">
        <v>42290</v>
      </c>
      <c r="G88" s="25">
        <f>YEAR(Employees_Tbl[[#This Row],[HIRE DATE]])</f>
        <v>2015</v>
      </c>
      <c r="H88" s="11" t="s">
        <v>17</v>
      </c>
      <c r="I88" s="11" t="s">
        <v>18</v>
      </c>
      <c r="J88" s="12">
        <v>67300</v>
      </c>
      <c r="K88" s="12">
        <v>1500</v>
      </c>
      <c r="L88" s="13">
        <v>0</v>
      </c>
      <c r="M88" s="13">
        <f>SUM(Employees_Tbl[[#This Row],[BASE SALARY]:[COMMISSION]])</f>
        <v>68800</v>
      </c>
      <c r="N88" s="11">
        <v>13</v>
      </c>
      <c r="O88" s="11">
        <v>9</v>
      </c>
      <c r="P88" s="11">
        <v>4</v>
      </c>
    </row>
    <row r="89" spans="1:16" x14ac:dyDescent="0.25">
      <c r="A89" s="11" t="s">
        <v>1054</v>
      </c>
      <c r="B89" s="11" t="s">
        <v>137</v>
      </c>
      <c r="C89" s="11" t="s">
        <v>1055</v>
      </c>
      <c r="D89" s="11" t="str">
        <f>Employees_Tbl[[#This Row],[LAST]] &amp;"." &amp; Employees_Tbl[[#This Row],[FIRST]]</f>
        <v>Cooks.Timothy</v>
      </c>
      <c r="E89" s="11" t="s">
        <v>45</v>
      </c>
      <c r="F89" s="14">
        <v>44052</v>
      </c>
      <c r="G89" s="25">
        <f>YEAR(Employees_Tbl[[#This Row],[HIRE DATE]])</f>
        <v>2020</v>
      </c>
      <c r="H89" s="11" t="s">
        <v>17</v>
      </c>
      <c r="I89" s="11" t="s">
        <v>18</v>
      </c>
      <c r="J89" s="12">
        <v>62100</v>
      </c>
      <c r="K89" s="12">
        <v>2000</v>
      </c>
      <c r="L89" s="13">
        <v>0</v>
      </c>
      <c r="M89" s="13">
        <f>SUM(Employees_Tbl[[#This Row],[BASE SALARY]:[COMMISSION]])</f>
        <v>64100</v>
      </c>
      <c r="N89" s="11">
        <v>13</v>
      </c>
      <c r="O89" s="11">
        <v>5</v>
      </c>
      <c r="P89" s="11">
        <v>4</v>
      </c>
    </row>
    <row r="90" spans="1:16" x14ac:dyDescent="0.25">
      <c r="A90" s="11" t="s">
        <v>165</v>
      </c>
      <c r="B90" s="11" t="s">
        <v>166</v>
      </c>
      <c r="C90" s="11" t="s">
        <v>167</v>
      </c>
      <c r="D90" s="11" t="str">
        <f>Employees_Tbl[[#This Row],[LAST]] &amp;"." &amp; Employees_Tbl[[#This Row],[FIRST]]</f>
        <v>Pou.Erna</v>
      </c>
      <c r="E90" s="11" t="s">
        <v>45</v>
      </c>
      <c r="F90" s="14">
        <v>41928</v>
      </c>
      <c r="G90" s="25">
        <f>YEAR(Employees_Tbl[[#This Row],[HIRE DATE]])</f>
        <v>2014</v>
      </c>
      <c r="H90" s="11" t="s">
        <v>17</v>
      </c>
      <c r="I90" s="11" t="s">
        <v>18</v>
      </c>
      <c r="J90" s="12">
        <v>55800</v>
      </c>
      <c r="K90" s="12">
        <v>1500</v>
      </c>
      <c r="L90" s="13">
        <v>0</v>
      </c>
      <c r="M90" s="13">
        <f>SUM(Employees_Tbl[[#This Row],[BASE SALARY]:[COMMISSION]])</f>
        <v>57300</v>
      </c>
      <c r="N90" s="11">
        <v>17</v>
      </c>
      <c r="O90" s="11">
        <v>8</v>
      </c>
      <c r="P90" s="11">
        <v>5</v>
      </c>
    </row>
    <row r="91" spans="1:16" x14ac:dyDescent="0.25">
      <c r="A91" s="11" t="s">
        <v>1053</v>
      </c>
      <c r="B91" s="11" t="s">
        <v>677</v>
      </c>
      <c r="C91" s="11" t="s">
        <v>881</v>
      </c>
      <c r="D91" s="11" t="str">
        <f>Employees_Tbl[[#This Row],[LAST]] &amp;"." &amp; Employees_Tbl[[#This Row],[FIRST]]</f>
        <v>Davis.Diane</v>
      </c>
      <c r="E91" s="11" t="s">
        <v>45</v>
      </c>
      <c r="F91" s="14">
        <v>44128</v>
      </c>
      <c r="G91" s="25">
        <f>YEAR(Employees_Tbl[[#This Row],[HIRE DATE]])</f>
        <v>2020</v>
      </c>
      <c r="H91" s="11" t="s">
        <v>17</v>
      </c>
      <c r="I91" s="11" t="s">
        <v>18</v>
      </c>
      <c r="J91" s="12">
        <v>54600</v>
      </c>
      <c r="K91" s="12">
        <v>1000</v>
      </c>
      <c r="L91" s="13">
        <v>0</v>
      </c>
      <c r="M91" s="13">
        <f>SUM(Employees_Tbl[[#This Row],[BASE SALARY]:[COMMISSION]])</f>
        <v>55600</v>
      </c>
      <c r="N91" s="11">
        <v>12</v>
      </c>
      <c r="O91" s="11">
        <v>5</v>
      </c>
      <c r="P91" s="11">
        <v>4</v>
      </c>
    </row>
    <row r="92" spans="1:16" x14ac:dyDescent="0.25">
      <c r="A92" s="11" t="s">
        <v>87</v>
      </c>
      <c r="B92" s="11" t="s">
        <v>88</v>
      </c>
      <c r="C92" s="11" t="s">
        <v>89</v>
      </c>
      <c r="D92" s="11" t="str">
        <f>Employees_Tbl[[#This Row],[LAST]] &amp;"." &amp; Employees_Tbl[[#This Row],[FIRST]]</f>
        <v>Crowell.Jill</v>
      </c>
      <c r="E92" s="11" t="s">
        <v>45</v>
      </c>
      <c r="F92" s="14">
        <v>41492</v>
      </c>
      <c r="G92" s="25">
        <f>YEAR(Employees_Tbl[[#This Row],[HIRE DATE]])</f>
        <v>2013</v>
      </c>
      <c r="H92" s="11" t="s">
        <v>17</v>
      </c>
      <c r="I92" s="11" t="s">
        <v>18</v>
      </c>
      <c r="J92" s="12">
        <v>54300</v>
      </c>
      <c r="K92" s="12">
        <v>2000</v>
      </c>
      <c r="L92" s="13">
        <v>0</v>
      </c>
      <c r="M92" s="13">
        <f>SUM(Employees_Tbl[[#This Row],[BASE SALARY]:[COMMISSION]])</f>
        <v>56300</v>
      </c>
      <c r="N92" s="11">
        <v>14</v>
      </c>
      <c r="O92" s="11">
        <v>4</v>
      </c>
      <c r="P92" s="11">
        <v>4</v>
      </c>
    </row>
    <row r="93" spans="1:16" x14ac:dyDescent="0.25">
      <c r="A93" s="11" t="s">
        <v>42</v>
      </c>
      <c r="B93" s="11" t="s">
        <v>43</v>
      </c>
      <c r="C93" s="11" t="s">
        <v>44</v>
      </c>
      <c r="D93" s="11" t="str">
        <f>Employees_Tbl[[#This Row],[LAST]] &amp;"." &amp; Employees_Tbl[[#This Row],[FIRST]]</f>
        <v>Speidel.Christopher</v>
      </c>
      <c r="E93" s="11" t="s">
        <v>45</v>
      </c>
      <c r="F93" s="14">
        <v>41000</v>
      </c>
      <c r="G93" s="25">
        <f>YEAR(Employees_Tbl[[#This Row],[HIRE DATE]])</f>
        <v>2012</v>
      </c>
      <c r="H93" s="11" t="s">
        <v>17</v>
      </c>
      <c r="I93" s="11" t="s">
        <v>18</v>
      </c>
      <c r="J93" s="12">
        <v>50400</v>
      </c>
      <c r="K93" s="12">
        <v>1500</v>
      </c>
      <c r="L93" s="13">
        <v>0</v>
      </c>
      <c r="M93" s="13">
        <f>SUM(Employees_Tbl[[#This Row],[BASE SALARY]:[COMMISSION]])</f>
        <v>51900</v>
      </c>
      <c r="N93" s="11">
        <v>11</v>
      </c>
      <c r="O93" s="11">
        <v>9</v>
      </c>
      <c r="P93" s="11">
        <v>5</v>
      </c>
    </row>
    <row r="94" spans="1:16" x14ac:dyDescent="0.25">
      <c r="A94" s="11" t="s">
        <v>264</v>
      </c>
      <c r="B94" s="11" t="s">
        <v>265</v>
      </c>
      <c r="C94" s="11" t="s">
        <v>266</v>
      </c>
      <c r="D94" s="11" t="str">
        <f>Employees_Tbl[[#This Row],[LAST]] &amp;"." &amp; Employees_Tbl[[#This Row],[FIRST]]</f>
        <v>Laboy.Anika</v>
      </c>
      <c r="E94" s="11" t="s">
        <v>45</v>
      </c>
      <c r="F94" s="14">
        <v>42348</v>
      </c>
      <c r="G94" s="25">
        <f>YEAR(Employees_Tbl[[#This Row],[HIRE DATE]])</f>
        <v>2015</v>
      </c>
      <c r="H94" s="11" t="s">
        <v>17</v>
      </c>
      <c r="I94" s="11" t="s">
        <v>18</v>
      </c>
      <c r="J94" s="12">
        <v>38200</v>
      </c>
      <c r="K94" s="12">
        <v>1500</v>
      </c>
      <c r="L94" s="13">
        <v>0</v>
      </c>
      <c r="M94" s="13">
        <f>SUM(Employees_Tbl[[#This Row],[BASE SALARY]:[COMMISSION]])</f>
        <v>39700</v>
      </c>
      <c r="N94" s="11">
        <v>11</v>
      </c>
      <c r="O94" s="11">
        <v>1</v>
      </c>
      <c r="P94" s="11">
        <v>3</v>
      </c>
    </row>
    <row r="95" spans="1:16" x14ac:dyDescent="0.25">
      <c r="A95" s="11" t="s">
        <v>105</v>
      </c>
      <c r="B95" s="11" t="s">
        <v>812</v>
      </c>
      <c r="C95" s="11" t="s">
        <v>1332</v>
      </c>
      <c r="D95" s="11" t="str">
        <f>Employees_Tbl[[#This Row],[LAST]] &amp;"." &amp; Employees_Tbl[[#This Row],[FIRST]]</f>
        <v>Timko.Nicole</v>
      </c>
      <c r="E95" s="11" t="s">
        <v>49</v>
      </c>
      <c r="F95" s="14">
        <v>41376</v>
      </c>
      <c r="G95" s="25">
        <f>YEAR(Employees_Tbl[[#This Row],[HIRE DATE]])</f>
        <v>2013</v>
      </c>
      <c r="H95" s="11" t="s">
        <v>17</v>
      </c>
      <c r="I95" s="11" t="s">
        <v>18</v>
      </c>
      <c r="J95" s="13">
        <v>74600</v>
      </c>
      <c r="K95" s="12">
        <v>2000</v>
      </c>
      <c r="L95" s="13">
        <v>19600</v>
      </c>
      <c r="M95" s="13">
        <f>SUM(Employees_Tbl[[#This Row],[BASE SALARY]:[COMMISSION]])</f>
        <v>96200</v>
      </c>
      <c r="N95" s="11">
        <v>12</v>
      </c>
      <c r="O95" s="11">
        <v>8</v>
      </c>
      <c r="P95" s="11">
        <v>5</v>
      </c>
    </row>
    <row r="96" spans="1:16" x14ac:dyDescent="0.25">
      <c r="A96" s="11" t="s">
        <v>272</v>
      </c>
      <c r="B96" s="11" t="s">
        <v>273</v>
      </c>
      <c r="C96" s="11" t="s">
        <v>274</v>
      </c>
      <c r="D96" s="11" t="str">
        <f>Employees_Tbl[[#This Row],[LAST]] &amp;"." &amp; Employees_Tbl[[#This Row],[FIRST]]</f>
        <v>Willis.Jacqueline</v>
      </c>
      <c r="E96" s="11" t="s">
        <v>49</v>
      </c>
      <c r="F96" s="14">
        <v>42048</v>
      </c>
      <c r="G96" s="25">
        <f>YEAR(Employees_Tbl[[#This Row],[HIRE DATE]])</f>
        <v>2015</v>
      </c>
      <c r="H96" s="11" t="s">
        <v>17</v>
      </c>
      <c r="I96" s="11" t="s">
        <v>18</v>
      </c>
      <c r="J96" s="12">
        <v>64400</v>
      </c>
      <c r="K96" s="12">
        <v>2000</v>
      </c>
      <c r="L96" s="13">
        <v>27800</v>
      </c>
      <c r="M96" s="13">
        <f>SUM(Employees_Tbl[[#This Row],[BASE SALARY]:[COMMISSION]])</f>
        <v>94200</v>
      </c>
      <c r="N96" s="11">
        <v>12</v>
      </c>
      <c r="O96" s="11">
        <v>5</v>
      </c>
      <c r="P96" s="11">
        <v>4</v>
      </c>
    </row>
    <row r="97" spans="1:16" x14ac:dyDescent="0.25">
      <c r="A97" s="11" t="s">
        <v>1059</v>
      </c>
      <c r="B97" s="11" t="s">
        <v>1060</v>
      </c>
      <c r="C97" s="11" t="s">
        <v>1061</v>
      </c>
      <c r="D97" s="11" t="str">
        <f>Employees_Tbl[[#This Row],[LAST]] &amp;"." &amp; Employees_Tbl[[#This Row],[FIRST]]</f>
        <v>Tinkham.Alicia</v>
      </c>
      <c r="E97" s="11" t="s">
        <v>49</v>
      </c>
      <c r="F97" s="14">
        <v>43936</v>
      </c>
      <c r="G97" s="25">
        <f>YEAR(Employees_Tbl[[#This Row],[HIRE DATE]])</f>
        <v>2020</v>
      </c>
      <c r="H97" s="11" t="s">
        <v>17</v>
      </c>
      <c r="I97" s="11" t="s">
        <v>18</v>
      </c>
      <c r="J97" s="12">
        <v>45900</v>
      </c>
      <c r="K97" s="12">
        <v>1500</v>
      </c>
      <c r="L97" s="13">
        <v>44300</v>
      </c>
      <c r="M97" s="13">
        <f>SUM(Employees_Tbl[[#This Row],[BASE SALARY]:[COMMISSION]])</f>
        <v>91700</v>
      </c>
      <c r="N97" s="11">
        <v>12</v>
      </c>
      <c r="O97" s="11">
        <v>8</v>
      </c>
      <c r="P97" s="11">
        <v>4</v>
      </c>
    </row>
    <row r="98" spans="1:16" x14ac:dyDescent="0.25">
      <c r="A98" s="11" t="s">
        <v>46</v>
      </c>
      <c r="B98" s="11" t="s">
        <v>47</v>
      </c>
      <c r="C98" s="11" t="s">
        <v>48</v>
      </c>
      <c r="D98" s="11" t="str">
        <f>Employees_Tbl[[#This Row],[LAST]] &amp;"." &amp; Employees_Tbl[[#This Row],[FIRST]]</f>
        <v>Robles.Elizabeth</v>
      </c>
      <c r="E98" s="11" t="s">
        <v>49</v>
      </c>
      <c r="F98" s="14">
        <v>41030</v>
      </c>
      <c r="G98" s="25">
        <f>YEAR(Employees_Tbl[[#This Row],[HIRE DATE]])</f>
        <v>2012</v>
      </c>
      <c r="H98" s="11" t="s">
        <v>17</v>
      </c>
      <c r="I98" s="11" t="s">
        <v>18</v>
      </c>
      <c r="J98" s="12">
        <v>42300</v>
      </c>
      <c r="K98" s="12">
        <v>1500</v>
      </c>
      <c r="L98" s="13">
        <v>32700</v>
      </c>
      <c r="M98" s="13">
        <f>SUM(Employees_Tbl[[#This Row],[BASE SALARY]:[COMMISSION]])</f>
        <v>76500</v>
      </c>
      <c r="N98" s="11">
        <v>16</v>
      </c>
      <c r="O98" s="11">
        <v>8</v>
      </c>
      <c r="P98" s="11">
        <v>4</v>
      </c>
    </row>
    <row r="99" spans="1:16" x14ac:dyDescent="0.25">
      <c r="A99" s="11" t="s">
        <v>96</v>
      </c>
      <c r="B99" s="11" t="s">
        <v>97</v>
      </c>
      <c r="C99" s="11" t="s">
        <v>98</v>
      </c>
      <c r="D99" s="11" t="str">
        <f>Employees_Tbl[[#This Row],[LAST]] &amp;"." &amp; Employees_Tbl[[#This Row],[FIRST]]</f>
        <v>Bowen.Shawn</v>
      </c>
      <c r="E99" s="11" t="s">
        <v>49</v>
      </c>
      <c r="F99" s="14">
        <v>41540</v>
      </c>
      <c r="G99" s="25">
        <f>YEAR(Employees_Tbl[[#This Row],[HIRE DATE]])</f>
        <v>2013</v>
      </c>
      <c r="H99" s="11" t="s">
        <v>17</v>
      </c>
      <c r="I99" s="11" t="s">
        <v>18</v>
      </c>
      <c r="J99" s="12">
        <v>41800</v>
      </c>
      <c r="K99" s="12">
        <v>1500</v>
      </c>
      <c r="L99" s="13">
        <v>20000</v>
      </c>
      <c r="M99" s="13">
        <f>SUM(Employees_Tbl[[#This Row],[BASE SALARY]:[COMMISSION]])</f>
        <v>63300</v>
      </c>
      <c r="N99" s="11">
        <v>11</v>
      </c>
      <c r="O99" s="11">
        <v>6</v>
      </c>
      <c r="P99" s="11">
        <v>4</v>
      </c>
    </row>
    <row r="100" spans="1:16" x14ac:dyDescent="0.25">
      <c r="A100" s="11" t="s">
        <v>172</v>
      </c>
      <c r="B100" s="11" t="s">
        <v>173</v>
      </c>
      <c r="C100" s="11" t="s">
        <v>174</v>
      </c>
      <c r="D100" s="11" t="str">
        <f>Employees_Tbl[[#This Row],[LAST]] &amp;"." &amp; Employees_Tbl[[#This Row],[FIRST]]</f>
        <v>Stetson.Susan</v>
      </c>
      <c r="E100" s="11" t="s">
        <v>49</v>
      </c>
      <c r="F100" s="14">
        <v>41815</v>
      </c>
      <c r="G100" s="25">
        <f>YEAR(Employees_Tbl[[#This Row],[HIRE DATE]])</f>
        <v>2014</v>
      </c>
      <c r="H100" s="11" t="s">
        <v>17</v>
      </c>
      <c r="I100" s="11" t="s">
        <v>18</v>
      </c>
      <c r="J100" s="12">
        <v>41400</v>
      </c>
      <c r="K100" s="12">
        <v>1500</v>
      </c>
      <c r="L100" s="13">
        <v>48500</v>
      </c>
      <c r="M100" s="13">
        <f>SUM(Employees_Tbl[[#This Row],[BASE SALARY]:[COMMISSION]])</f>
        <v>91400</v>
      </c>
      <c r="N100" s="11">
        <v>17</v>
      </c>
      <c r="O100" s="11">
        <v>7</v>
      </c>
      <c r="P100" s="11">
        <v>4</v>
      </c>
    </row>
    <row r="101" spans="1:16" x14ac:dyDescent="0.25">
      <c r="A101" s="11" t="s">
        <v>102</v>
      </c>
      <c r="B101" s="11" t="s">
        <v>1328</v>
      </c>
      <c r="C101" s="11" t="s">
        <v>104</v>
      </c>
      <c r="D101" s="11" t="str">
        <f>Employees_Tbl[[#This Row],[LAST]] &amp;"." &amp; Employees_Tbl[[#This Row],[FIRST]]</f>
        <v>Doi.Chan</v>
      </c>
      <c r="E101" s="11" t="s">
        <v>49</v>
      </c>
      <c r="F101" s="14">
        <v>41345</v>
      </c>
      <c r="G101" s="25">
        <f>YEAR(Employees_Tbl[[#This Row],[HIRE DATE]])</f>
        <v>2013</v>
      </c>
      <c r="H101" s="11" t="s">
        <v>17</v>
      </c>
      <c r="I101" s="11" t="s">
        <v>18</v>
      </c>
      <c r="J101" s="12">
        <v>41300</v>
      </c>
      <c r="K101" s="12">
        <v>1000</v>
      </c>
      <c r="L101" s="13">
        <v>52600</v>
      </c>
      <c r="M101" s="13">
        <f>SUM(Employees_Tbl[[#This Row],[BASE SALARY]:[COMMISSION]])</f>
        <v>94900</v>
      </c>
      <c r="N101" s="11">
        <v>15</v>
      </c>
      <c r="O101" s="11">
        <v>9</v>
      </c>
      <c r="P101" s="11">
        <v>5</v>
      </c>
    </row>
    <row r="102" spans="1:16" x14ac:dyDescent="0.25">
      <c r="A102" s="11" t="s">
        <v>170</v>
      </c>
      <c r="B102" s="11" t="s">
        <v>171</v>
      </c>
      <c r="C102" s="11" t="s">
        <v>1376</v>
      </c>
      <c r="D102" s="11" t="str">
        <f>Employees_Tbl[[#This Row],[LAST]] &amp;"." &amp; Employees_Tbl[[#This Row],[FIRST]]</f>
        <v>McLaughlin.Isabel</v>
      </c>
      <c r="E102" s="11" t="s">
        <v>49</v>
      </c>
      <c r="F102" s="14">
        <v>41836</v>
      </c>
      <c r="G102" s="25">
        <f>YEAR(Employees_Tbl[[#This Row],[HIRE DATE]])</f>
        <v>2014</v>
      </c>
      <c r="H102" s="11" t="s">
        <v>17</v>
      </c>
      <c r="I102" s="11" t="s">
        <v>18</v>
      </c>
      <c r="J102" s="12">
        <v>40500</v>
      </c>
      <c r="K102" s="12">
        <v>1500</v>
      </c>
      <c r="L102" s="13">
        <v>32200</v>
      </c>
      <c r="M102" s="13">
        <f>SUM(Employees_Tbl[[#This Row],[BASE SALARY]:[COMMISSION]])</f>
        <v>74200</v>
      </c>
      <c r="N102" s="11">
        <v>11</v>
      </c>
      <c r="O102" s="11">
        <v>10</v>
      </c>
      <c r="P102" s="11">
        <v>4</v>
      </c>
    </row>
    <row r="103" spans="1:16" x14ac:dyDescent="0.25">
      <c r="A103" s="11" t="s">
        <v>882</v>
      </c>
      <c r="B103" s="11" t="s">
        <v>883</v>
      </c>
      <c r="C103" s="11" t="s">
        <v>751</v>
      </c>
      <c r="D103" s="11" t="str">
        <f>Employees_Tbl[[#This Row],[LAST]] &amp;"." &amp; Employees_Tbl[[#This Row],[FIRST]]</f>
        <v>Johnson.Yuonne</v>
      </c>
      <c r="E103" s="11" t="s">
        <v>49</v>
      </c>
      <c r="F103" s="14">
        <v>43760</v>
      </c>
      <c r="G103" s="25">
        <f>YEAR(Employees_Tbl[[#This Row],[HIRE DATE]])</f>
        <v>2019</v>
      </c>
      <c r="H103" s="11" t="s">
        <v>17</v>
      </c>
      <c r="I103" s="11" t="s">
        <v>18</v>
      </c>
      <c r="J103" s="12">
        <v>40000</v>
      </c>
      <c r="K103" s="12">
        <v>1000</v>
      </c>
      <c r="L103" s="13">
        <v>4400</v>
      </c>
      <c r="M103" s="13">
        <f>SUM(Employees_Tbl[[#This Row],[BASE SALARY]:[COMMISSION]])</f>
        <v>45400</v>
      </c>
      <c r="N103" s="11">
        <v>10</v>
      </c>
      <c r="O103" s="11">
        <v>7</v>
      </c>
      <c r="P103" s="11">
        <v>2</v>
      </c>
    </row>
    <row r="104" spans="1:16" x14ac:dyDescent="0.25">
      <c r="A104" s="11" t="s">
        <v>99</v>
      </c>
      <c r="B104" s="11" t="s">
        <v>100</v>
      </c>
      <c r="C104" s="11" t="s">
        <v>101</v>
      </c>
      <c r="D104" s="11" t="str">
        <f>Employees_Tbl[[#This Row],[LAST]] &amp;"." &amp; Employees_Tbl[[#This Row],[FIRST]]</f>
        <v>Carter.Amy</v>
      </c>
      <c r="E104" s="11" t="s">
        <v>49</v>
      </c>
      <c r="F104" s="14">
        <v>41419</v>
      </c>
      <c r="G104" s="25">
        <f>YEAR(Employees_Tbl[[#This Row],[HIRE DATE]])</f>
        <v>2013</v>
      </c>
      <c r="H104" s="11" t="s">
        <v>17</v>
      </c>
      <c r="I104" s="11" t="s">
        <v>18</v>
      </c>
      <c r="J104" s="12">
        <v>37600</v>
      </c>
      <c r="K104" s="12">
        <v>1000</v>
      </c>
      <c r="L104" s="13">
        <v>38700</v>
      </c>
      <c r="M104" s="13">
        <f>SUM(Employees_Tbl[[#This Row],[BASE SALARY]:[COMMISSION]])</f>
        <v>77300</v>
      </c>
      <c r="N104" s="11">
        <v>11</v>
      </c>
      <c r="O104" s="11">
        <v>8</v>
      </c>
      <c r="P104" s="11">
        <v>4</v>
      </c>
    </row>
    <row r="105" spans="1:16" x14ac:dyDescent="0.25">
      <c r="A105" s="11" t="s">
        <v>1056</v>
      </c>
      <c r="B105" s="11" t="s">
        <v>1057</v>
      </c>
      <c r="C105" s="11" t="s">
        <v>1058</v>
      </c>
      <c r="D105" s="11" t="str">
        <f>Employees_Tbl[[#This Row],[LAST]] &amp;"." &amp; Employees_Tbl[[#This Row],[FIRST]]</f>
        <v>Elwell.Patrick</v>
      </c>
      <c r="E105" s="11" t="s">
        <v>49</v>
      </c>
      <c r="F105" s="14">
        <v>44015</v>
      </c>
      <c r="G105" s="25">
        <f>YEAR(Employees_Tbl[[#This Row],[HIRE DATE]])</f>
        <v>2020</v>
      </c>
      <c r="H105" s="11" t="s">
        <v>17</v>
      </c>
      <c r="I105" s="11" t="s">
        <v>18</v>
      </c>
      <c r="J105" s="12">
        <v>36100</v>
      </c>
      <c r="K105" s="12">
        <v>1000</v>
      </c>
      <c r="L105" s="13">
        <v>39900</v>
      </c>
      <c r="M105" s="13">
        <f>SUM(Employees_Tbl[[#This Row],[BASE SALARY]:[COMMISSION]])</f>
        <v>77000</v>
      </c>
      <c r="N105" s="11">
        <v>10</v>
      </c>
      <c r="O105" s="11">
        <v>11</v>
      </c>
      <c r="P105" s="11">
        <v>3</v>
      </c>
    </row>
    <row r="106" spans="1:16" x14ac:dyDescent="0.25">
      <c r="A106" s="11" t="s">
        <v>679</v>
      </c>
      <c r="B106" s="11" t="s">
        <v>35</v>
      </c>
      <c r="C106" s="11" t="s">
        <v>680</v>
      </c>
      <c r="D106" s="11" t="str">
        <f>Employees_Tbl[[#This Row],[LAST]] &amp;"." &amp; Employees_Tbl[[#This Row],[FIRST]]</f>
        <v>Burse.Charles</v>
      </c>
      <c r="E106" s="11" t="s">
        <v>49</v>
      </c>
      <c r="F106" s="14">
        <v>43336</v>
      </c>
      <c r="G106" s="25">
        <f>YEAR(Employees_Tbl[[#This Row],[HIRE DATE]])</f>
        <v>2018</v>
      </c>
      <c r="H106" s="11" t="s">
        <v>17</v>
      </c>
      <c r="I106" s="11" t="s">
        <v>18</v>
      </c>
      <c r="J106" s="12">
        <v>35400</v>
      </c>
      <c r="K106" s="12">
        <v>1000</v>
      </c>
      <c r="L106" s="13">
        <v>44400</v>
      </c>
      <c r="M106" s="13">
        <f>SUM(Employees_Tbl[[#This Row],[BASE SALARY]:[COMMISSION]])</f>
        <v>80800</v>
      </c>
      <c r="N106" s="11">
        <v>11</v>
      </c>
      <c r="O106" s="11">
        <v>5</v>
      </c>
      <c r="P106" s="11">
        <v>4</v>
      </c>
    </row>
    <row r="107" spans="1:16" x14ac:dyDescent="0.25">
      <c r="A107" s="11" t="s">
        <v>168</v>
      </c>
      <c r="B107" s="11" t="s">
        <v>118</v>
      </c>
      <c r="C107" s="11" t="s">
        <v>169</v>
      </c>
      <c r="D107" s="11" t="str">
        <f>Employees_Tbl[[#This Row],[LAST]] &amp;"." &amp; Employees_Tbl[[#This Row],[FIRST]]</f>
        <v>Bartlett.Martha</v>
      </c>
      <c r="E107" s="11" t="s">
        <v>49</v>
      </c>
      <c r="F107" s="14">
        <v>41988</v>
      </c>
      <c r="G107" s="25">
        <f>YEAR(Employees_Tbl[[#This Row],[HIRE DATE]])</f>
        <v>2014</v>
      </c>
      <c r="H107" s="11" t="s">
        <v>17</v>
      </c>
      <c r="I107" s="11" t="s">
        <v>18</v>
      </c>
      <c r="J107" s="12">
        <v>32400</v>
      </c>
      <c r="K107" s="12">
        <v>1000</v>
      </c>
      <c r="L107" s="13">
        <v>31300</v>
      </c>
      <c r="M107" s="13">
        <f>SUM(Employees_Tbl[[#This Row],[BASE SALARY]:[COMMISSION]])</f>
        <v>64700</v>
      </c>
      <c r="N107" s="11">
        <v>13</v>
      </c>
      <c r="O107" s="11">
        <v>6</v>
      </c>
      <c r="P107" s="11">
        <v>5</v>
      </c>
    </row>
    <row r="108" spans="1:16" x14ac:dyDescent="0.25">
      <c r="A108" s="11" t="s">
        <v>270</v>
      </c>
      <c r="B108" s="11" t="s">
        <v>125</v>
      </c>
      <c r="C108" s="11" t="s">
        <v>271</v>
      </c>
      <c r="D108" s="11" t="str">
        <f>Employees_Tbl[[#This Row],[LAST]] &amp;"." &amp; Employees_Tbl[[#This Row],[FIRST]]</f>
        <v>Smith.Phyllis</v>
      </c>
      <c r="E108" s="11" t="s">
        <v>49</v>
      </c>
      <c r="F108" s="14">
        <v>42206</v>
      </c>
      <c r="G108" s="25">
        <f>YEAR(Employees_Tbl[[#This Row],[HIRE DATE]])</f>
        <v>2015</v>
      </c>
      <c r="H108" s="11" t="s">
        <v>17</v>
      </c>
      <c r="I108" s="11" t="s">
        <v>18</v>
      </c>
      <c r="J108" s="12">
        <v>31900</v>
      </c>
      <c r="K108" s="12">
        <v>500</v>
      </c>
      <c r="L108" s="13">
        <v>11400</v>
      </c>
      <c r="M108" s="13">
        <f>SUM(Employees_Tbl[[#This Row],[BASE SALARY]:[COMMISSION]])</f>
        <v>43800</v>
      </c>
      <c r="N108" s="11">
        <v>13</v>
      </c>
      <c r="O108" s="11">
        <v>7</v>
      </c>
      <c r="P108" s="11">
        <v>4</v>
      </c>
    </row>
    <row r="109" spans="1:16" x14ac:dyDescent="0.25">
      <c r="A109" s="11" t="s">
        <v>879</v>
      </c>
      <c r="B109" s="11" t="s">
        <v>880</v>
      </c>
      <c r="C109" s="11" t="s">
        <v>881</v>
      </c>
      <c r="D109" s="11" t="str">
        <f>Employees_Tbl[[#This Row],[LAST]] &amp;"." &amp; Employees_Tbl[[#This Row],[FIRST]]</f>
        <v>Davis.Derek</v>
      </c>
      <c r="E109" s="11" t="s">
        <v>49</v>
      </c>
      <c r="F109" s="14">
        <v>43820</v>
      </c>
      <c r="G109" s="25">
        <f>YEAR(Employees_Tbl[[#This Row],[HIRE DATE]])</f>
        <v>2019</v>
      </c>
      <c r="H109" s="11" t="s">
        <v>17</v>
      </c>
      <c r="I109" s="11" t="s">
        <v>18</v>
      </c>
      <c r="J109" s="12">
        <v>27000</v>
      </c>
      <c r="K109" s="12">
        <v>1000</v>
      </c>
      <c r="L109" s="13">
        <v>12500</v>
      </c>
      <c r="M109" s="13">
        <f>SUM(Employees_Tbl[[#This Row],[BASE SALARY]:[COMMISSION]])</f>
        <v>40500</v>
      </c>
      <c r="N109" s="11">
        <v>14</v>
      </c>
      <c r="O109" s="11">
        <v>8</v>
      </c>
      <c r="P109" s="11">
        <v>4</v>
      </c>
    </row>
    <row r="110" spans="1:16" x14ac:dyDescent="0.25">
      <c r="A110" s="11" t="s">
        <v>546</v>
      </c>
      <c r="B110" s="11" t="s">
        <v>547</v>
      </c>
      <c r="C110" s="11" t="s">
        <v>443</v>
      </c>
      <c r="D110" s="11" t="str">
        <f>Employees_Tbl[[#This Row],[LAST]] &amp;"." &amp; Employees_Tbl[[#This Row],[FIRST]]</f>
        <v>Anderson.Frank</v>
      </c>
      <c r="E110" s="11" t="s">
        <v>53</v>
      </c>
      <c r="F110" s="14">
        <v>42876</v>
      </c>
      <c r="G110" s="25">
        <f>YEAR(Employees_Tbl[[#This Row],[HIRE DATE]])</f>
        <v>2017</v>
      </c>
      <c r="H110" s="11" t="s">
        <v>111</v>
      </c>
      <c r="I110" s="11" t="s">
        <v>112</v>
      </c>
      <c r="J110" s="12">
        <v>104300</v>
      </c>
      <c r="K110" s="12">
        <v>2500</v>
      </c>
      <c r="L110" s="13">
        <v>0</v>
      </c>
      <c r="M110" s="13">
        <f>SUM(Employees_Tbl[[#This Row],[BASE SALARY]:[COMMISSION]])</f>
        <v>106800</v>
      </c>
      <c r="N110" s="11">
        <v>11</v>
      </c>
      <c r="O110" s="11">
        <v>7</v>
      </c>
      <c r="P110" s="11">
        <v>4</v>
      </c>
    </row>
    <row r="111" spans="1:16" x14ac:dyDescent="0.25">
      <c r="A111" s="11" t="s">
        <v>360</v>
      </c>
      <c r="B111" s="11" t="s">
        <v>204</v>
      </c>
      <c r="C111" s="11" t="s">
        <v>361</v>
      </c>
      <c r="D111" s="11" t="str">
        <f>Employees_Tbl[[#This Row],[LAST]] &amp;"." &amp; Employees_Tbl[[#This Row],[FIRST]]</f>
        <v>Moyer.Richard</v>
      </c>
      <c r="E111" s="11" t="s">
        <v>53</v>
      </c>
      <c r="F111" s="14">
        <v>42599</v>
      </c>
      <c r="G111" s="25">
        <f>YEAR(Employees_Tbl[[#This Row],[HIRE DATE]])</f>
        <v>2016</v>
      </c>
      <c r="H111" s="11" t="s">
        <v>111</v>
      </c>
      <c r="I111" s="11" t="s">
        <v>112</v>
      </c>
      <c r="J111" s="12">
        <v>95800</v>
      </c>
      <c r="K111" s="12">
        <v>3000</v>
      </c>
      <c r="L111" s="13">
        <v>0</v>
      </c>
      <c r="M111" s="13">
        <f>SUM(Employees_Tbl[[#This Row],[BASE SALARY]:[COMMISSION]])</f>
        <v>98800</v>
      </c>
      <c r="N111" s="11">
        <v>11</v>
      </c>
      <c r="O111" s="11">
        <v>5</v>
      </c>
      <c r="P111" s="11">
        <v>5</v>
      </c>
    </row>
    <row r="112" spans="1:16" x14ac:dyDescent="0.25">
      <c r="A112" s="11" t="s">
        <v>279</v>
      </c>
      <c r="B112" s="11" t="s">
        <v>91</v>
      </c>
      <c r="C112" s="11" t="s">
        <v>280</v>
      </c>
      <c r="D112" s="11" t="str">
        <f>Employees_Tbl[[#This Row],[LAST]] &amp;"." &amp; Employees_Tbl[[#This Row],[FIRST]]</f>
        <v>Goodsell.Robert</v>
      </c>
      <c r="E112" s="11" t="s">
        <v>53</v>
      </c>
      <c r="F112" s="14">
        <v>42053</v>
      </c>
      <c r="G112" s="25">
        <f>YEAR(Employees_Tbl[[#This Row],[HIRE DATE]])</f>
        <v>2015</v>
      </c>
      <c r="H112" s="11" t="s">
        <v>111</v>
      </c>
      <c r="I112" s="11" t="s">
        <v>112</v>
      </c>
      <c r="J112" s="12">
        <v>91400</v>
      </c>
      <c r="K112" s="12">
        <v>3000</v>
      </c>
      <c r="L112" s="13">
        <v>0</v>
      </c>
      <c r="M112" s="13">
        <f>SUM(Employees_Tbl[[#This Row],[BASE SALARY]:[COMMISSION]])</f>
        <v>94400</v>
      </c>
      <c r="N112" s="11">
        <v>11</v>
      </c>
      <c r="O112" s="11">
        <v>8</v>
      </c>
      <c r="P112" s="11">
        <v>4</v>
      </c>
    </row>
    <row r="113" spans="1:16" x14ac:dyDescent="0.25">
      <c r="A113" s="11" t="s">
        <v>544</v>
      </c>
      <c r="B113" s="11" t="s">
        <v>137</v>
      </c>
      <c r="C113" s="11" t="s">
        <v>545</v>
      </c>
      <c r="D113" s="11" t="str">
        <f>Employees_Tbl[[#This Row],[LAST]] &amp;"." &amp; Employees_Tbl[[#This Row],[FIRST]]</f>
        <v>Collins.Timothy</v>
      </c>
      <c r="E113" s="11" t="s">
        <v>53</v>
      </c>
      <c r="F113" s="14">
        <v>42893</v>
      </c>
      <c r="G113" s="25">
        <f>YEAR(Employees_Tbl[[#This Row],[HIRE DATE]])</f>
        <v>2017</v>
      </c>
      <c r="H113" s="11" t="s">
        <v>111</v>
      </c>
      <c r="I113" s="11" t="s">
        <v>112</v>
      </c>
      <c r="J113" s="12">
        <v>90500</v>
      </c>
      <c r="K113" s="12">
        <v>2500</v>
      </c>
      <c r="L113" s="13">
        <v>0</v>
      </c>
      <c r="M113" s="13">
        <f>SUM(Employees_Tbl[[#This Row],[BASE SALARY]:[COMMISSION]])</f>
        <v>93000</v>
      </c>
      <c r="N113" s="11">
        <v>15</v>
      </c>
      <c r="O113" s="11">
        <v>5</v>
      </c>
      <c r="P113" s="11">
        <v>3</v>
      </c>
    </row>
    <row r="114" spans="1:16" x14ac:dyDescent="0.25">
      <c r="A114" s="11" t="s">
        <v>889</v>
      </c>
      <c r="B114" s="11" t="s">
        <v>890</v>
      </c>
      <c r="C114" s="11" t="s">
        <v>349</v>
      </c>
      <c r="D114" s="11" t="str">
        <f>Employees_Tbl[[#This Row],[LAST]] &amp;"." &amp; Employees_Tbl[[#This Row],[FIRST]]</f>
        <v>Hawkins.Jerry</v>
      </c>
      <c r="E114" s="11" t="s">
        <v>53</v>
      </c>
      <c r="F114" s="14">
        <v>43520</v>
      </c>
      <c r="G114" s="25">
        <f>YEAR(Employees_Tbl[[#This Row],[HIRE DATE]])</f>
        <v>2019</v>
      </c>
      <c r="H114" s="11" t="s">
        <v>111</v>
      </c>
      <c r="I114" s="11" t="s">
        <v>112</v>
      </c>
      <c r="J114" s="12">
        <v>84200</v>
      </c>
      <c r="K114" s="12">
        <v>2500</v>
      </c>
      <c r="L114" s="13">
        <v>0</v>
      </c>
      <c r="M114" s="13">
        <f>SUM(Employees_Tbl[[#This Row],[BASE SALARY]:[COMMISSION]])</f>
        <v>86700</v>
      </c>
      <c r="N114" s="11">
        <v>15</v>
      </c>
      <c r="O114" s="11">
        <v>6</v>
      </c>
      <c r="P114" s="11">
        <v>5</v>
      </c>
    </row>
    <row r="115" spans="1:16" x14ac:dyDescent="0.25">
      <c r="A115" s="11" t="s">
        <v>276</v>
      </c>
      <c r="B115" s="11" t="s">
        <v>277</v>
      </c>
      <c r="C115" s="11" t="s">
        <v>278</v>
      </c>
      <c r="D115" s="11" t="str">
        <f>Employees_Tbl[[#This Row],[LAST]] &amp;"." &amp; Employees_Tbl[[#This Row],[FIRST]]</f>
        <v>Christensen.Ruth</v>
      </c>
      <c r="E115" s="11" t="s">
        <v>53</v>
      </c>
      <c r="F115" s="14">
        <v>42033</v>
      </c>
      <c r="G115" s="25">
        <f>YEAR(Employees_Tbl[[#This Row],[HIRE DATE]])</f>
        <v>2015</v>
      </c>
      <c r="H115" s="11" t="s">
        <v>111</v>
      </c>
      <c r="I115" s="11" t="s">
        <v>112</v>
      </c>
      <c r="J115" s="12">
        <v>74500</v>
      </c>
      <c r="K115" s="12">
        <v>3000</v>
      </c>
      <c r="L115" s="13">
        <v>0</v>
      </c>
      <c r="M115" s="13">
        <f>SUM(Employees_Tbl[[#This Row],[BASE SALARY]:[COMMISSION]])</f>
        <v>77500</v>
      </c>
      <c r="N115" s="11">
        <v>13</v>
      </c>
      <c r="O115" s="11">
        <v>12</v>
      </c>
      <c r="P115" s="11">
        <v>4</v>
      </c>
    </row>
    <row r="116" spans="1:16" x14ac:dyDescent="0.25">
      <c r="A116" s="11" t="s">
        <v>542</v>
      </c>
      <c r="B116" s="11" t="s">
        <v>137</v>
      </c>
      <c r="C116" s="11" t="s">
        <v>543</v>
      </c>
      <c r="D116" s="11" t="str">
        <f>Employees_Tbl[[#This Row],[LAST]] &amp;"." &amp; Employees_Tbl[[#This Row],[FIRST]]</f>
        <v>Morris.Timothy</v>
      </c>
      <c r="E116" s="11" t="s">
        <v>53</v>
      </c>
      <c r="F116" s="14">
        <v>42778</v>
      </c>
      <c r="G116" s="25">
        <f>YEAR(Employees_Tbl[[#This Row],[HIRE DATE]])</f>
        <v>2017</v>
      </c>
      <c r="H116" s="11" t="s">
        <v>111</v>
      </c>
      <c r="I116" s="11" t="s">
        <v>112</v>
      </c>
      <c r="J116" s="12">
        <v>66100</v>
      </c>
      <c r="K116" s="12">
        <v>2500</v>
      </c>
      <c r="L116" s="13">
        <v>0</v>
      </c>
      <c r="M116" s="13">
        <f>SUM(Employees_Tbl[[#This Row],[BASE SALARY]:[COMMISSION]])</f>
        <v>68600</v>
      </c>
      <c r="N116" s="11">
        <v>12</v>
      </c>
      <c r="O116" s="11">
        <v>6</v>
      </c>
      <c r="P116" s="11">
        <v>5</v>
      </c>
    </row>
    <row r="117" spans="1:16" x14ac:dyDescent="0.25">
      <c r="A117" s="11" t="s">
        <v>275</v>
      </c>
      <c r="B117" s="11" t="s">
        <v>118</v>
      </c>
      <c r="C117" s="11" t="s">
        <v>205</v>
      </c>
      <c r="D117" s="11" t="str">
        <f>Employees_Tbl[[#This Row],[LAST]] &amp;"." &amp; Employees_Tbl[[#This Row],[FIRST]]</f>
        <v>Allen.Martha</v>
      </c>
      <c r="E117" s="11" t="s">
        <v>53</v>
      </c>
      <c r="F117" s="14">
        <v>42064</v>
      </c>
      <c r="G117" s="25">
        <f>YEAR(Employees_Tbl[[#This Row],[HIRE DATE]])</f>
        <v>2015</v>
      </c>
      <c r="H117" s="11" t="s">
        <v>111</v>
      </c>
      <c r="I117" s="11" t="s">
        <v>112</v>
      </c>
      <c r="J117" s="12">
        <v>59400</v>
      </c>
      <c r="K117" s="12">
        <v>2000</v>
      </c>
      <c r="L117" s="13">
        <v>0</v>
      </c>
      <c r="M117" s="13">
        <f>SUM(Employees_Tbl[[#This Row],[BASE SALARY]:[COMMISSION]])</f>
        <v>61400</v>
      </c>
      <c r="N117" s="11">
        <v>17</v>
      </c>
      <c r="O117" s="11">
        <v>6</v>
      </c>
      <c r="P117" s="11">
        <v>2</v>
      </c>
    </row>
    <row r="118" spans="1:16" x14ac:dyDescent="0.25">
      <c r="A118" s="11" t="s">
        <v>177</v>
      </c>
      <c r="B118" s="11" t="s">
        <v>178</v>
      </c>
      <c r="C118" s="11" t="s">
        <v>179</v>
      </c>
      <c r="D118" s="11" t="str">
        <f>Employees_Tbl[[#This Row],[LAST]] &amp;"." &amp; Employees_Tbl[[#This Row],[FIRST]]</f>
        <v>Devinney.Bruce</v>
      </c>
      <c r="E118" s="11" t="s">
        <v>53</v>
      </c>
      <c r="F118" s="14">
        <v>41860</v>
      </c>
      <c r="G118" s="25">
        <f>YEAR(Employees_Tbl[[#This Row],[HIRE DATE]])</f>
        <v>2014</v>
      </c>
      <c r="H118" s="11" t="s">
        <v>111</v>
      </c>
      <c r="I118" s="11" t="s">
        <v>112</v>
      </c>
      <c r="J118" s="12">
        <v>53100</v>
      </c>
      <c r="K118" s="12">
        <v>2000</v>
      </c>
      <c r="L118" s="13">
        <v>0</v>
      </c>
      <c r="M118" s="13">
        <f>SUM(Employees_Tbl[[#This Row],[BASE SALARY]:[COMMISSION]])</f>
        <v>55100</v>
      </c>
      <c r="N118" s="11">
        <v>18</v>
      </c>
      <c r="O118" s="11">
        <v>5</v>
      </c>
      <c r="P118" s="11">
        <v>5</v>
      </c>
    </row>
    <row r="119" spans="1:16" x14ac:dyDescent="0.25">
      <c r="A119" s="11" t="s">
        <v>887</v>
      </c>
      <c r="B119" s="11" t="s">
        <v>67</v>
      </c>
      <c r="C119" s="11" t="s">
        <v>888</v>
      </c>
      <c r="D119" s="11" t="str">
        <f>Employees_Tbl[[#This Row],[LAST]] &amp;"." &amp; Employees_Tbl[[#This Row],[FIRST]]</f>
        <v>Hamada.Michelle</v>
      </c>
      <c r="E119" s="11" t="s">
        <v>53</v>
      </c>
      <c r="F119" s="14">
        <v>43667</v>
      </c>
      <c r="G119" s="25">
        <f>YEAR(Employees_Tbl[[#This Row],[HIRE DATE]])</f>
        <v>2019</v>
      </c>
      <c r="H119" s="11" t="s">
        <v>111</v>
      </c>
      <c r="I119" s="11" t="s">
        <v>112</v>
      </c>
      <c r="J119" s="12">
        <v>48300</v>
      </c>
      <c r="K119" s="12">
        <v>1000</v>
      </c>
      <c r="L119" s="13">
        <v>0</v>
      </c>
      <c r="M119" s="13">
        <f>SUM(Employees_Tbl[[#This Row],[BASE SALARY]:[COMMISSION]])</f>
        <v>49300</v>
      </c>
      <c r="N119" s="11">
        <v>18</v>
      </c>
      <c r="O119" s="11">
        <v>6</v>
      </c>
      <c r="P119" s="11">
        <v>4</v>
      </c>
    </row>
    <row r="120" spans="1:16" x14ac:dyDescent="0.25">
      <c r="A120" s="11" t="s">
        <v>681</v>
      </c>
      <c r="B120" s="11" t="s">
        <v>682</v>
      </c>
      <c r="C120" s="11" t="s">
        <v>683</v>
      </c>
      <c r="D120" s="11" t="str">
        <f>Employees_Tbl[[#This Row],[LAST]] &amp;"." &amp; Employees_Tbl[[#This Row],[FIRST]]</f>
        <v>Wing.Jackie</v>
      </c>
      <c r="E120" s="11" t="s">
        <v>53</v>
      </c>
      <c r="F120" s="14">
        <v>43437</v>
      </c>
      <c r="G120" s="25">
        <f>YEAR(Employees_Tbl[[#This Row],[HIRE DATE]])</f>
        <v>2018</v>
      </c>
      <c r="H120" s="11" t="s">
        <v>111</v>
      </c>
      <c r="I120" s="11" t="s">
        <v>112</v>
      </c>
      <c r="J120" s="12">
        <v>47500</v>
      </c>
      <c r="K120" s="12">
        <v>1500</v>
      </c>
      <c r="L120" s="13">
        <v>0</v>
      </c>
      <c r="M120" s="13">
        <f>SUM(Employees_Tbl[[#This Row],[BASE SALARY]:[COMMISSION]])</f>
        <v>49000</v>
      </c>
      <c r="N120" s="11">
        <v>18</v>
      </c>
      <c r="O120" s="11">
        <v>3</v>
      </c>
      <c r="P120" s="11">
        <v>4</v>
      </c>
    </row>
    <row r="121" spans="1:16" x14ac:dyDescent="0.25">
      <c r="A121" s="11" t="s">
        <v>539</v>
      </c>
      <c r="B121" s="11" t="s">
        <v>540</v>
      </c>
      <c r="C121" s="11" t="s">
        <v>541</v>
      </c>
      <c r="D121" s="11" t="str">
        <f>Employees_Tbl[[#This Row],[LAST]] &amp;"." &amp; Employees_Tbl[[#This Row],[FIRST]]</f>
        <v>Hinson.Tammi</v>
      </c>
      <c r="E121" s="11" t="s">
        <v>53</v>
      </c>
      <c r="F121" s="14">
        <v>43063</v>
      </c>
      <c r="G121" s="25">
        <f>YEAR(Employees_Tbl[[#This Row],[HIRE DATE]])</f>
        <v>2017</v>
      </c>
      <c r="H121" s="11" t="s">
        <v>111</v>
      </c>
      <c r="I121" s="11" t="s">
        <v>112</v>
      </c>
      <c r="J121" s="12">
        <v>46400</v>
      </c>
      <c r="K121" s="12">
        <v>1500</v>
      </c>
      <c r="L121" s="13">
        <v>0</v>
      </c>
      <c r="M121" s="13">
        <f>SUM(Employees_Tbl[[#This Row],[BASE SALARY]:[COMMISSION]])</f>
        <v>47900</v>
      </c>
      <c r="N121" s="11">
        <v>11</v>
      </c>
      <c r="O121" s="11">
        <v>8</v>
      </c>
      <c r="P121" s="11">
        <v>3</v>
      </c>
    </row>
    <row r="122" spans="1:16" x14ac:dyDescent="0.25">
      <c r="A122" s="11" t="s">
        <v>1116</v>
      </c>
      <c r="B122" s="11" t="s">
        <v>687</v>
      </c>
      <c r="C122" s="11" t="s">
        <v>1068</v>
      </c>
      <c r="D122" s="11" t="str">
        <f>Employees_Tbl[[#This Row],[LAST]] &amp;"." &amp; Employees_Tbl[[#This Row],[FIRST]]</f>
        <v>Rizzo.Jennifer</v>
      </c>
      <c r="E122" s="11" t="s">
        <v>53</v>
      </c>
      <c r="F122" s="14">
        <v>44021</v>
      </c>
      <c r="G122" s="25">
        <f>YEAR(Employees_Tbl[[#This Row],[HIRE DATE]])</f>
        <v>2020</v>
      </c>
      <c r="H122" s="11" t="s">
        <v>111</v>
      </c>
      <c r="I122" s="11" t="s">
        <v>112</v>
      </c>
      <c r="J122" s="12">
        <v>44400</v>
      </c>
      <c r="K122" s="12">
        <v>1500</v>
      </c>
      <c r="L122" s="13">
        <v>0</v>
      </c>
      <c r="M122" s="13">
        <f>SUM(Employees_Tbl[[#This Row],[BASE SALARY]:[COMMISSION]])</f>
        <v>45900</v>
      </c>
      <c r="N122" s="11">
        <v>12</v>
      </c>
      <c r="O122" s="11">
        <v>6</v>
      </c>
      <c r="P122" s="11">
        <v>4</v>
      </c>
    </row>
    <row r="123" spans="1:16" x14ac:dyDescent="0.25">
      <c r="A123" s="11" t="s">
        <v>1069</v>
      </c>
      <c r="B123" s="11" t="s">
        <v>220</v>
      </c>
      <c r="C123" s="11" t="s">
        <v>603</v>
      </c>
      <c r="D123" s="11" t="str">
        <f>Employees_Tbl[[#This Row],[LAST]] &amp;"." &amp; Employees_Tbl[[#This Row],[FIRST]]</f>
        <v>Preston.Betty</v>
      </c>
      <c r="E123" s="11" t="s">
        <v>53</v>
      </c>
      <c r="F123" s="14">
        <v>43956</v>
      </c>
      <c r="G123" s="25">
        <f>YEAR(Employees_Tbl[[#This Row],[HIRE DATE]])</f>
        <v>2020</v>
      </c>
      <c r="H123" s="11" t="s">
        <v>111</v>
      </c>
      <c r="I123" s="11" t="s">
        <v>112</v>
      </c>
      <c r="J123" s="12">
        <v>44200</v>
      </c>
      <c r="K123" s="12">
        <v>1500</v>
      </c>
      <c r="L123" s="13">
        <v>0</v>
      </c>
      <c r="M123" s="13">
        <f>SUM(Employees_Tbl[[#This Row],[BASE SALARY]:[COMMISSION]])</f>
        <v>45700</v>
      </c>
      <c r="N123" s="11">
        <v>17</v>
      </c>
      <c r="O123" s="11">
        <v>2</v>
      </c>
      <c r="P123" s="11">
        <v>5</v>
      </c>
    </row>
    <row r="124" spans="1:16" x14ac:dyDescent="0.25">
      <c r="A124" s="11" t="s">
        <v>357</v>
      </c>
      <c r="B124" s="11" t="s">
        <v>358</v>
      </c>
      <c r="C124" s="11" t="s">
        <v>359</v>
      </c>
      <c r="D124" s="11" t="str">
        <f>Employees_Tbl[[#This Row],[LAST]] &amp;"." &amp; Employees_Tbl[[#This Row],[FIRST]]</f>
        <v>Baxter.Gwendolyn</v>
      </c>
      <c r="E124" s="11" t="s">
        <v>53</v>
      </c>
      <c r="F124" s="14">
        <v>42550</v>
      </c>
      <c r="G124" s="25">
        <f>YEAR(Employees_Tbl[[#This Row],[HIRE DATE]])</f>
        <v>2016</v>
      </c>
      <c r="H124" s="11" t="s">
        <v>111</v>
      </c>
      <c r="I124" s="11" t="s">
        <v>112</v>
      </c>
      <c r="J124" s="12">
        <v>42100</v>
      </c>
      <c r="K124" s="12">
        <v>1000</v>
      </c>
      <c r="L124" s="13">
        <v>0</v>
      </c>
      <c r="M124" s="13">
        <f>SUM(Employees_Tbl[[#This Row],[BASE SALARY]:[COMMISSION]])</f>
        <v>43100</v>
      </c>
      <c r="N124" s="11">
        <v>14</v>
      </c>
      <c r="O124" s="11">
        <v>5</v>
      </c>
      <c r="P124" s="11">
        <v>5</v>
      </c>
    </row>
    <row r="125" spans="1:16" x14ac:dyDescent="0.25">
      <c r="A125" s="11" t="s">
        <v>1065</v>
      </c>
      <c r="B125" s="11" t="s">
        <v>1066</v>
      </c>
      <c r="C125" s="11" t="s">
        <v>1067</v>
      </c>
      <c r="D125" s="11" t="str">
        <f>Employees_Tbl[[#This Row],[LAST]] &amp;"." &amp; Employees_Tbl[[#This Row],[FIRST]]</f>
        <v>Corson.Virginia</v>
      </c>
      <c r="E125" s="11" t="s">
        <v>53</v>
      </c>
      <c r="F125" s="14">
        <v>44114</v>
      </c>
      <c r="G125" s="25">
        <f>YEAR(Employees_Tbl[[#This Row],[HIRE DATE]])</f>
        <v>2020</v>
      </c>
      <c r="H125" s="11" t="s">
        <v>111</v>
      </c>
      <c r="I125" s="11" t="s">
        <v>112</v>
      </c>
      <c r="J125" s="12">
        <v>42100</v>
      </c>
      <c r="K125" s="12">
        <v>1000</v>
      </c>
      <c r="L125" s="13">
        <v>0</v>
      </c>
      <c r="M125" s="13">
        <f>SUM(Employees_Tbl[[#This Row],[BASE SALARY]:[COMMISSION]])</f>
        <v>43100</v>
      </c>
      <c r="N125" s="11">
        <v>16</v>
      </c>
      <c r="O125" s="11">
        <v>4</v>
      </c>
      <c r="P125" s="11">
        <v>5</v>
      </c>
    </row>
    <row r="126" spans="1:16" x14ac:dyDescent="0.25">
      <c r="A126" s="11" t="s">
        <v>175</v>
      </c>
      <c r="B126" s="11" t="s">
        <v>176</v>
      </c>
      <c r="C126" s="11" t="s">
        <v>141</v>
      </c>
      <c r="D126" s="11" t="str">
        <f>Employees_Tbl[[#This Row],[LAST]] &amp;"." &amp; Employees_Tbl[[#This Row],[FIRST]]</f>
        <v>Myers.Stacey</v>
      </c>
      <c r="E126" s="11" t="s">
        <v>53</v>
      </c>
      <c r="F126" s="14">
        <v>41723</v>
      </c>
      <c r="G126" s="25">
        <f>YEAR(Employees_Tbl[[#This Row],[HIRE DATE]])</f>
        <v>2014</v>
      </c>
      <c r="H126" s="11" t="s">
        <v>111</v>
      </c>
      <c r="I126" s="11" t="s">
        <v>112</v>
      </c>
      <c r="J126" s="12">
        <v>38200</v>
      </c>
      <c r="K126" s="12">
        <v>1500</v>
      </c>
      <c r="L126" s="13">
        <v>0</v>
      </c>
      <c r="M126" s="13">
        <f>SUM(Employees_Tbl[[#This Row],[BASE SALARY]:[COMMISSION]])</f>
        <v>39700</v>
      </c>
      <c r="N126" s="11">
        <v>14</v>
      </c>
      <c r="O126" s="11">
        <v>6</v>
      </c>
      <c r="P126" s="11">
        <v>4</v>
      </c>
    </row>
    <row r="127" spans="1:16" x14ac:dyDescent="0.25">
      <c r="A127" s="11" t="s">
        <v>538</v>
      </c>
      <c r="B127" s="11" t="s">
        <v>24</v>
      </c>
      <c r="C127" s="11" t="s">
        <v>1360</v>
      </c>
      <c r="D127" s="11" t="str">
        <f>Employees_Tbl[[#This Row],[LAST]] &amp;"." &amp; Employees_Tbl[[#This Row],[FIRST]]</f>
        <v>Orta.Maria</v>
      </c>
      <c r="E127" s="11" t="s">
        <v>53</v>
      </c>
      <c r="F127" s="14">
        <v>42914</v>
      </c>
      <c r="G127" s="25">
        <f>YEAR(Employees_Tbl[[#This Row],[HIRE DATE]])</f>
        <v>2017</v>
      </c>
      <c r="H127" s="11" t="s">
        <v>111</v>
      </c>
      <c r="I127" s="11" t="s">
        <v>112</v>
      </c>
      <c r="J127" s="13">
        <v>38200</v>
      </c>
      <c r="K127" s="12">
        <v>1000</v>
      </c>
      <c r="L127" s="13">
        <v>0</v>
      </c>
      <c r="M127" s="13">
        <f>SUM(Employees_Tbl[[#This Row],[BASE SALARY]:[COMMISSION]])</f>
        <v>39200</v>
      </c>
      <c r="N127" s="11">
        <v>17</v>
      </c>
      <c r="O127" s="11">
        <v>8</v>
      </c>
      <c r="P127" s="11">
        <v>5</v>
      </c>
    </row>
    <row r="128" spans="1:16" x14ac:dyDescent="0.25">
      <c r="A128" s="11" t="s">
        <v>1062</v>
      </c>
      <c r="B128" s="11" t="s">
        <v>1063</v>
      </c>
      <c r="C128" s="11" t="s">
        <v>1064</v>
      </c>
      <c r="D128" s="11" t="str">
        <f>Employees_Tbl[[#This Row],[LAST]] &amp;"." &amp; Employees_Tbl[[#This Row],[FIRST]]</f>
        <v>Tesch.Anthony</v>
      </c>
      <c r="E128" s="11" t="s">
        <v>53</v>
      </c>
      <c r="F128" s="14">
        <v>44062</v>
      </c>
      <c r="G128" s="25">
        <f>YEAR(Employees_Tbl[[#This Row],[HIRE DATE]])</f>
        <v>2020</v>
      </c>
      <c r="H128" s="11" t="s">
        <v>111</v>
      </c>
      <c r="I128" s="11" t="s">
        <v>112</v>
      </c>
      <c r="J128" s="12">
        <v>35900</v>
      </c>
      <c r="K128" s="12">
        <v>500</v>
      </c>
      <c r="L128" s="13">
        <v>0</v>
      </c>
      <c r="M128" s="13">
        <f>SUM(Employees_Tbl[[#This Row],[BASE SALARY]:[COMMISSION]])</f>
        <v>36400</v>
      </c>
      <c r="N128" s="11">
        <v>14</v>
      </c>
      <c r="O128" s="11">
        <v>8</v>
      </c>
      <c r="P128" s="11">
        <v>5</v>
      </c>
    </row>
    <row r="129" spans="1:16" x14ac:dyDescent="0.25">
      <c r="A129" s="11" t="s">
        <v>884</v>
      </c>
      <c r="B129" s="11" t="s">
        <v>885</v>
      </c>
      <c r="C129" s="11" t="s">
        <v>886</v>
      </c>
      <c r="D129" s="11" t="str">
        <f>Employees_Tbl[[#This Row],[LAST]] &amp;"." &amp; Employees_Tbl[[#This Row],[FIRST]]</f>
        <v>Lilly.Floyd</v>
      </c>
      <c r="E129" s="11" t="s">
        <v>53</v>
      </c>
      <c r="F129" s="14">
        <v>43766</v>
      </c>
      <c r="G129" s="25">
        <f>YEAR(Employees_Tbl[[#This Row],[HIRE DATE]])</f>
        <v>2019</v>
      </c>
      <c r="H129" s="11" t="s">
        <v>111</v>
      </c>
      <c r="I129" s="11" t="s">
        <v>112</v>
      </c>
      <c r="J129" s="12">
        <v>30000</v>
      </c>
      <c r="K129" s="12">
        <v>1000</v>
      </c>
      <c r="L129" s="13">
        <v>0</v>
      </c>
      <c r="M129" s="13">
        <f>SUM(Employees_Tbl[[#This Row],[BASE SALARY]:[COMMISSION]])</f>
        <v>31000</v>
      </c>
      <c r="N129" s="11">
        <v>10</v>
      </c>
      <c r="O129" s="11">
        <v>7</v>
      </c>
      <c r="P129" s="11">
        <v>5</v>
      </c>
    </row>
    <row r="130" spans="1:16" x14ac:dyDescent="0.25">
      <c r="A130" s="11" t="s">
        <v>549</v>
      </c>
      <c r="B130" s="11" t="s">
        <v>550</v>
      </c>
      <c r="C130" s="11" t="s">
        <v>551</v>
      </c>
      <c r="D130" s="11" t="str">
        <f>Employees_Tbl[[#This Row],[LAST]] &amp;"." &amp; Employees_Tbl[[#This Row],[FIRST]]</f>
        <v>Otis.Julie</v>
      </c>
      <c r="E130" s="11" t="s">
        <v>16</v>
      </c>
      <c r="F130" s="14">
        <v>43051</v>
      </c>
      <c r="G130" s="25">
        <f>YEAR(Employees_Tbl[[#This Row],[HIRE DATE]])</f>
        <v>2017</v>
      </c>
      <c r="H130" s="11" t="s">
        <v>111</v>
      </c>
      <c r="I130" s="11" t="s">
        <v>112</v>
      </c>
      <c r="J130" s="12">
        <v>137900</v>
      </c>
      <c r="K130" s="12">
        <v>4500</v>
      </c>
      <c r="L130" s="13">
        <v>0</v>
      </c>
      <c r="M130" s="13">
        <f>SUM(Employees_Tbl[[#This Row],[BASE SALARY]:[COMMISSION]])</f>
        <v>142400</v>
      </c>
      <c r="N130" s="11">
        <v>16</v>
      </c>
      <c r="O130" s="11">
        <v>10</v>
      </c>
      <c r="P130" s="11">
        <v>2</v>
      </c>
    </row>
    <row r="131" spans="1:16" x14ac:dyDescent="0.25">
      <c r="A131" s="11" t="s">
        <v>183</v>
      </c>
      <c r="B131" s="11" t="s">
        <v>184</v>
      </c>
      <c r="C131" s="11" t="s">
        <v>185</v>
      </c>
      <c r="D131" s="11" t="str">
        <f>Employees_Tbl[[#This Row],[LAST]] &amp;"." &amp; Employees_Tbl[[#This Row],[FIRST]]</f>
        <v>Ferrell.Angelina</v>
      </c>
      <c r="E131" s="11" t="s">
        <v>16</v>
      </c>
      <c r="F131" s="14">
        <v>41780</v>
      </c>
      <c r="G131" s="25">
        <f>YEAR(Employees_Tbl[[#This Row],[HIRE DATE]])</f>
        <v>2014</v>
      </c>
      <c r="H131" s="11" t="s">
        <v>111</v>
      </c>
      <c r="I131" s="11" t="s">
        <v>112</v>
      </c>
      <c r="J131" s="12">
        <v>120600</v>
      </c>
      <c r="K131" s="12">
        <v>3500</v>
      </c>
      <c r="L131" s="13">
        <v>0</v>
      </c>
      <c r="M131" s="13">
        <f>SUM(Employees_Tbl[[#This Row],[BASE SALARY]:[COMMISSION]])</f>
        <v>124100</v>
      </c>
      <c r="N131" s="11">
        <v>16</v>
      </c>
      <c r="O131" s="11">
        <v>7</v>
      </c>
      <c r="P131" s="11">
        <v>4</v>
      </c>
    </row>
    <row r="132" spans="1:16" x14ac:dyDescent="0.25">
      <c r="A132" s="11" t="s">
        <v>548</v>
      </c>
      <c r="B132" s="11" t="s">
        <v>268</v>
      </c>
      <c r="C132" s="11" t="s">
        <v>134</v>
      </c>
      <c r="D132" s="11" t="str">
        <f>Employees_Tbl[[#This Row],[LAST]] &amp;"." &amp; Employees_Tbl[[#This Row],[FIRST]]</f>
        <v>James.David</v>
      </c>
      <c r="E132" s="11" t="s">
        <v>16</v>
      </c>
      <c r="F132" s="14">
        <v>42910</v>
      </c>
      <c r="G132" s="25">
        <f>YEAR(Employees_Tbl[[#This Row],[HIRE DATE]])</f>
        <v>2017</v>
      </c>
      <c r="H132" s="11" t="s">
        <v>111</v>
      </c>
      <c r="I132" s="11" t="s">
        <v>112</v>
      </c>
      <c r="J132" s="12">
        <v>117600</v>
      </c>
      <c r="K132" s="12">
        <v>3000</v>
      </c>
      <c r="L132" s="13">
        <v>0</v>
      </c>
      <c r="M132" s="13">
        <f>SUM(Employees_Tbl[[#This Row],[BASE SALARY]:[COMMISSION]])</f>
        <v>120600</v>
      </c>
      <c r="N132" s="11">
        <v>11</v>
      </c>
      <c r="O132" s="11">
        <v>5</v>
      </c>
      <c r="P132" s="11">
        <v>5</v>
      </c>
    </row>
    <row r="133" spans="1:16" x14ac:dyDescent="0.25">
      <c r="A133" s="11" t="s">
        <v>180</v>
      </c>
      <c r="B133" s="11" t="s">
        <v>181</v>
      </c>
      <c r="C133" s="11" t="s">
        <v>182</v>
      </c>
      <c r="D133" s="11" t="str">
        <f>Employees_Tbl[[#This Row],[LAST]] &amp;"." &amp; Employees_Tbl[[#This Row],[FIRST]]</f>
        <v>Quezada.Natalie</v>
      </c>
      <c r="E133" s="11" t="s">
        <v>16</v>
      </c>
      <c r="F133" s="14">
        <v>41998</v>
      </c>
      <c r="G133" s="25">
        <f>YEAR(Employees_Tbl[[#This Row],[HIRE DATE]])</f>
        <v>2014</v>
      </c>
      <c r="H133" s="11" t="s">
        <v>111</v>
      </c>
      <c r="I133" s="11" t="s">
        <v>112</v>
      </c>
      <c r="J133" s="12">
        <v>75900</v>
      </c>
      <c r="K133" s="12">
        <v>2000</v>
      </c>
      <c r="L133" s="13">
        <v>0</v>
      </c>
      <c r="M133" s="13">
        <f>SUM(Employees_Tbl[[#This Row],[BASE SALARY]:[COMMISSION]])</f>
        <v>77900</v>
      </c>
      <c r="N133" s="11">
        <v>10</v>
      </c>
      <c r="O133" s="11">
        <v>11</v>
      </c>
      <c r="P133" s="11">
        <v>4</v>
      </c>
    </row>
    <row r="134" spans="1:16" x14ac:dyDescent="0.25">
      <c r="A134" s="11" t="s">
        <v>891</v>
      </c>
      <c r="B134" s="11" t="s">
        <v>892</v>
      </c>
      <c r="C134" s="11" t="s">
        <v>824</v>
      </c>
      <c r="D134" s="11" t="str">
        <f>Employees_Tbl[[#This Row],[LAST]] &amp;"." &amp; Employees_Tbl[[#This Row],[FIRST]]</f>
        <v>Campbell.Tyree</v>
      </c>
      <c r="E134" s="11" t="s">
        <v>16</v>
      </c>
      <c r="F134" s="14">
        <v>43584</v>
      </c>
      <c r="G134" s="25">
        <f>YEAR(Employees_Tbl[[#This Row],[HIRE DATE]])</f>
        <v>2019</v>
      </c>
      <c r="H134" s="11" t="s">
        <v>111</v>
      </c>
      <c r="I134" s="11" t="s">
        <v>112</v>
      </c>
      <c r="J134" s="12">
        <v>74500</v>
      </c>
      <c r="K134" s="12">
        <v>2500</v>
      </c>
      <c r="L134" s="13">
        <v>0</v>
      </c>
      <c r="M134" s="13">
        <f>SUM(Employees_Tbl[[#This Row],[BASE SALARY]:[COMMISSION]])</f>
        <v>77000</v>
      </c>
      <c r="N134" s="11">
        <v>13</v>
      </c>
      <c r="O134" s="11">
        <v>5</v>
      </c>
      <c r="P134" s="11">
        <v>5</v>
      </c>
    </row>
    <row r="135" spans="1:16" x14ac:dyDescent="0.25">
      <c r="A135" s="11" t="s">
        <v>1070</v>
      </c>
      <c r="B135" s="11" t="s">
        <v>1071</v>
      </c>
      <c r="C135" s="11" t="s">
        <v>1072</v>
      </c>
      <c r="D135" s="11" t="str">
        <f>Employees_Tbl[[#This Row],[LAST]] &amp;"." &amp; Employees_Tbl[[#This Row],[FIRST]]</f>
        <v>Ross.Carol</v>
      </c>
      <c r="E135" s="11" t="s">
        <v>16</v>
      </c>
      <c r="F135" s="14">
        <v>43907</v>
      </c>
      <c r="G135" s="25">
        <f>YEAR(Employees_Tbl[[#This Row],[HIRE DATE]])</f>
        <v>2020</v>
      </c>
      <c r="H135" s="11" t="s">
        <v>111</v>
      </c>
      <c r="I135" s="11" t="s">
        <v>112</v>
      </c>
      <c r="J135" s="12">
        <v>53800</v>
      </c>
      <c r="K135" s="12">
        <v>1500</v>
      </c>
      <c r="L135" s="13">
        <v>0</v>
      </c>
      <c r="M135" s="13">
        <f>SUM(Employees_Tbl[[#This Row],[BASE SALARY]:[COMMISSION]])</f>
        <v>55300</v>
      </c>
      <c r="N135" s="11">
        <v>18</v>
      </c>
      <c r="O135" s="11">
        <v>9</v>
      </c>
      <c r="P135" s="11">
        <v>4</v>
      </c>
    </row>
    <row r="136" spans="1:16" x14ac:dyDescent="0.25">
      <c r="A136" s="11" t="s">
        <v>1078</v>
      </c>
      <c r="B136" s="11" t="s">
        <v>1079</v>
      </c>
      <c r="C136" s="11" t="s">
        <v>1080</v>
      </c>
      <c r="D136" s="11" t="str">
        <f>Employees_Tbl[[#This Row],[LAST]] &amp;"." &amp; Employees_Tbl[[#This Row],[FIRST]]</f>
        <v>Cabot.Carrie</v>
      </c>
      <c r="E136" s="11" t="s">
        <v>22</v>
      </c>
      <c r="F136" s="14">
        <v>44125</v>
      </c>
      <c r="G136" s="25">
        <f>YEAR(Employees_Tbl[[#This Row],[HIRE DATE]])</f>
        <v>2020</v>
      </c>
      <c r="H136" s="11" t="s">
        <v>111</v>
      </c>
      <c r="I136" s="11" t="s">
        <v>112</v>
      </c>
      <c r="J136" s="12">
        <v>56400</v>
      </c>
      <c r="K136" s="12">
        <v>1500</v>
      </c>
      <c r="L136" s="13">
        <v>0</v>
      </c>
      <c r="M136" s="13">
        <f>SUM(Employees_Tbl[[#This Row],[BASE SALARY]:[COMMISSION]])</f>
        <v>57900</v>
      </c>
      <c r="N136" s="11">
        <v>13</v>
      </c>
      <c r="O136" s="11">
        <v>14</v>
      </c>
      <c r="P136" s="11">
        <v>4</v>
      </c>
    </row>
    <row r="137" spans="1:16" x14ac:dyDescent="0.25">
      <c r="A137" s="11" t="s">
        <v>283</v>
      </c>
      <c r="B137" s="11" t="s">
        <v>284</v>
      </c>
      <c r="C137" s="11" t="s">
        <v>285</v>
      </c>
      <c r="D137" s="11" t="str">
        <f>Employees_Tbl[[#This Row],[LAST]] &amp;"." &amp; Employees_Tbl[[#This Row],[FIRST]]</f>
        <v>Kim.Frederick</v>
      </c>
      <c r="E137" s="11" t="s">
        <v>22</v>
      </c>
      <c r="F137" s="14">
        <v>42073</v>
      </c>
      <c r="G137" s="25">
        <f>YEAR(Employees_Tbl[[#This Row],[HIRE DATE]])</f>
        <v>2015</v>
      </c>
      <c r="H137" s="11" t="s">
        <v>111</v>
      </c>
      <c r="I137" s="11" t="s">
        <v>112</v>
      </c>
      <c r="J137" s="12">
        <v>55300</v>
      </c>
      <c r="K137" s="12">
        <v>1000</v>
      </c>
      <c r="L137" s="13">
        <v>0</v>
      </c>
      <c r="M137" s="13">
        <f>SUM(Employees_Tbl[[#This Row],[BASE SALARY]:[COMMISSION]])</f>
        <v>56300</v>
      </c>
      <c r="N137" s="11">
        <v>16</v>
      </c>
      <c r="O137" s="11">
        <v>7</v>
      </c>
      <c r="P137" s="11">
        <v>4</v>
      </c>
    </row>
    <row r="138" spans="1:16" x14ac:dyDescent="0.25">
      <c r="A138" s="11" t="s">
        <v>1076</v>
      </c>
      <c r="B138" s="11" t="s">
        <v>173</v>
      </c>
      <c r="C138" s="11" t="s">
        <v>1077</v>
      </c>
      <c r="D138" s="11" t="str">
        <f>Employees_Tbl[[#This Row],[LAST]] &amp;"." &amp; Employees_Tbl[[#This Row],[FIRST]]</f>
        <v>Weyand.Susan</v>
      </c>
      <c r="E138" s="11" t="s">
        <v>22</v>
      </c>
      <c r="F138" s="14">
        <v>44195</v>
      </c>
      <c r="G138" s="25">
        <f>YEAR(Employees_Tbl[[#This Row],[HIRE DATE]])</f>
        <v>2020</v>
      </c>
      <c r="H138" s="11" t="s">
        <v>111</v>
      </c>
      <c r="I138" s="11" t="s">
        <v>112</v>
      </c>
      <c r="J138" s="12">
        <v>49700</v>
      </c>
      <c r="K138" s="12">
        <v>1000</v>
      </c>
      <c r="L138" s="13">
        <v>0</v>
      </c>
      <c r="M138" s="13">
        <f>SUM(Employees_Tbl[[#This Row],[BASE SALARY]:[COMMISSION]])</f>
        <v>50700</v>
      </c>
      <c r="N138" s="11">
        <v>16</v>
      </c>
      <c r="O138" s="11">
        <v>11</v>
      </c>
      <c r="P138" s="11">
        <v>4</v>
      </c>
    </row>
    <row r="139" spans="1:16" x14ac:dyDescent="0.25">
      <c r="A139" s="11" t="s">
        <v>1073</v>
      </c>
      <c r="B139" s="11" t="s">
        <v>1074</v>
      </c>
      <c r="C139" s="11" t="s">
        <v>1075</v>
      </c>
      <c r="D139" s="11" t="str">
        <f>Employees_Tbl[[#This Row],[LAST]] &amp;"." &amp; Employees_Tbl[[#This Row],[FIRST]]</f>
        <v>Hilliard.Gary</v>
      </c>
      <c r="E139" s="11" t="s">
        <v>22</v>
      </c>
      <c r="F139" s="14">
        <v>43948</v>
      </c>
      <c r="G139" s="25">
        <f>YEAR(Employees_Tbl[[#This Row],[HIRE DATE]])</f>
        <v>2020</v>
      </c>
      <c r="H139" s="11" t="s">
        <v>111</v>
      </c>
      <c r="I139" s="11" t="s">
        <v>112</v>
      </c>
      <c r="J139" s="12">
        <v>46400</v>
      </c>
      <c r="K139" s="12">
        <v>1500</v>
      </c>
      <c r="L139" s="13">
        <v>0</v>
      </c>
      <c r="M139" s="13">
        <f>SUM(Employees_Tbl[[#This Row],[BASE SALARY]:[COMMISSION]])</f>
        <v>47900</v>
      </c>
      <c r="N139" s="11">
        <v>11</v>
      </c>
      <c r="O139" s="11">
        <v>12</v>
      </c>
      <c r="P139" s="11">
        <v>4</v>
      </c>
    </row>
    <row r="140" spans="1:16" x14ac:dyDescent="0.25">
      <c r="A140" s="11" t="s">
        <v>186</v>
      </c>
      <c r="B140" s="11" t="s">
        <v>187</v>
      </c>
      <c r="C140" s="11" t="s">
        <v>188</v>
      </c>
      <c r="D140" s="11" t="str">
        <f>Employees_Tbl[[#This Row],[LAST]] &amp;"." &amp; Employees_Tbl[[#This Row],[FIRST]]</f>
        <v>Rudd.Claudio</v>
      </c>
      <c r="E140" s="11" t="s">
        <v>22</v>
      </c>
      <c r="F140" s="14">
        <v>41807</v>
      </c>
      <c r="G140" s="25">
        <f>YEAR(Employees_Tbl[[#This Row],[HIRE DATE]])</f>
        <v>2014</v>
      </c>
      <c r="H140" s="11" t="s">
        <v>111</v>
      </c>
      <c r="I140" s="11" t="s">
        <v>112</v>
      </c>
      <c r="J140" s="12">
        <v>42400</v>
      </c>
      <c r="K140" s="12">
        <v>1000</v>
      </c>
      <c r="L140" s="13">
        <v>0</v>
      </c>
      <c r="M140" s="13">
        <f>SUM(Employees_Tbl[[#This Row],[BASE SALARY]:[COMMISSION]])</f>
        <v>43400</v>
      </c>
      <c r="N140" s="11">
        <v>10</v>
      </c>
      <c r="O140" s="11">
        <v>6</v>
      </c>
      <c r="P140" s="11">
        <v>4</v>
      </c>
    </row>
    <row r="141" spans="1:16" x14ac:dyDescent="0.25">
      <c r="A141" s="11" t="s">
        <v>281</v>
      </c>
      <c r="B141" s="11" t="s">
        <v>94</v>
      </c>
      <c r="C141" s="11" t="s">
        <v>282</v>
      </c>
      <c r="D141" s="11" t="str">
        <f>Employees_Tbl[[#This Row],[LAST]] &amp;"." &amp; Employees_Tbl[[#This Row],[FIRST]]</f>
        <v>Dorsey.John</v>
      </c>
      <c r="E141" s="11" t="s">
        <v>22</v>
      </c>
      <c r="F141" s="14">
        <v>42169</v>
      </c>
      <c r="G141" s="25">
        <f>YEAR(Employees_Tbl[[#This Row],[HIRE DATE]])</f>
        <v>2015</v>
      </c>
      <c r="H141" s="11" t="s">
        <v>111</v>
      </c>
      <c r="I141" s="11" t="s">
        <v>112</v>
      </c>
      <c r="J141" s="12">
        <v>40100</v>
      </c>
      <c r="K141" s="12">
        <v>1500</v>
      </c>
      <c r="L141" s="13">
        <v>0</v>
      </c>
      <c r="M141" s="13">
        <f>SUM(Employees_Tbl[[#This Row],[BASE SALARY]:[COMMISSION]])</f>
        <v>41600</v>
      </c>
      <c r="N141" s="11">
        <v>14</v>
      </c>
      <c r="O141" s="11">
        <v>8</v>
      </c>
      <c r="P141" s="11">
        <v>3</v>
      </c>
    </row>
    <row r="142" spans="1:16" x14ac:dyDescent="0.25">
      <c r="A142" s="11" t="s">
        <v>552</v>
      </c>
      <c r="B142" s="11" t="s">
        <v>553</v>
      </c>
      <c r="C142" s="11" t="s">
        <v>554</v>
      </c>
      <c r="D142" s="11" t="str">
        <f>Employees_Tbl[[#This Row],[LAST]] &amp;"." &amp; Employees_Tbl[[#This Row],[FIRST]]</f>
        <v>Woods.Audrey</v>
      </c>
      <c r="E142" s="11" t="s">
        <v>22</v>
      </c>
      <c r="F142" s="14">
        <v>43062</v>
      </c>
      <c r="G142" s="25">
        <f>YEAR(Employees_Tbl[[#This Row],[HIRE DATE]])</f>
        <v>2017</v>
      </c>
      <c r="H142" s="11" t="s">
        <v>111</v>
      </c>
      <c r="I142" s="11" t="s">
        <v>112</v>
      </c>
      <c r="J142" s="12">
        <v>33900</v>
      </c>
      <c r="K142" s="12">
        <v>500</v>
      </c>
      <c r="L142" s="13">
        <v>0</v>
      </c>
      <c r="M142" s="13">
        <f>SUM(Employees_Tbl[[#This Row],[BASE SALARY]:[COMMISSION]])</f>
        <v>34400</v>
      </c>
      <c r="N142" s="11">
        <v>10</v>
      </c>
      <c r="O142" s="11">
        <v>10</v>
      </c>
      <c r="P142" s="11">
        <v>5</v>
      </c>
    </row>
    <row r="143" spans="1:16" x14ac:dyDescent="0.25">
      <c r="A143" s="11" t="s">
        <v>197</v>
      </c>
      <c r="B143" s="11" t="s">
        <v>118</v>
      </c>
      <c r="C143" s="11" t="s">
        <v>198</v>
      </c>
      <c r="D143" s="11" t="str">
        <f>Employees_Tbl[[#This Row],[LAST]] &amp;"." &amp; Employees_Tbl[[#This Row],[FIRST]]</f>
        <v>Page.Martha</v>
      </c>
      <c r="E143" s="11" t="s">
        <v>26</v>
      </c>
      <c r="F143" s="14">
        <v>41922</v>
      </c>
      <c r="G143" s="25">
        <f>YEAR(Employees_Tbl[[#This Row],[HIRE DATE]])</f>
        <v>2014</v>
      </c>
      <c r="H143" s="11" t="s">
        <v>111</v>
      </c>
      <c r="I143" s="11" t="s">
        <v>112</v>
      </c>
      <c r="J143" s="12">
        <v>101100</v>
      </c>
      <c r="K143" s="12">
        <v>2500</v>
      </c>
      <c r="L143" s="13">
        <v>0</v>
      </c>
      <c r="M143" s="13">
        <f>SUM(Employees_Tbl[[#This Row],[BASE SALARY]:[COMMISSION]])</f>
        <v>103600</v>
      </c>
      <c r="N143" s="11">
        <v>14</v>
      </c>
      <c r="O143" s="11">
        <v>6</v>
      </c>
      <c r="P143" s="11">
        <v>3</v>
      </c>
    </row>
    <row r="144" spans="1:16" x14ac:dyDescent="0.25">
      <c r="A144" s="11" t="s">
        <v>195</v>
      </c>
      <c r="B144" s="11" t="s">
        <v>114</v>
      </c>
      <c r="C144" s="11" t="s">
        <v>196</v>
      </c>
      <c r="D144" s="11" t="str">
        <f>Employees_Tbl[[#This Row],[LAST]] &amp;"." &amp; Employees_Tbl[[#This Row],[FIRST]]</f>
        <v>Sitz.William</v>
      </c>
      <c r="E144" s="11" t="s">
        <v>26</v>
      </c>
      <c r="F144" s="14">
        <v>41989</v>
      </c>
      <c r="G144" s="25">
        <f>YEAR(Employees_Tbl[[#This Row],[HIRE DATE]])</f>
        <v>2014</v>
      </c>
      <c r="H144" s="11" t="s">
        <v>111</v>
      </c>
      <c r="I144" s="11" t="s">
        <v>112</v>
      </c>
      <c r="J144" s="12">
        <v>89100</v>
      </c>
      <c r="K144" s="12">
        <v>2500</v>
      </c>
      <c r="L144" s="13">
        <v>0</v>
      </c>
      <c r="M144" s="13">
        <f>SUM(Employees_Tbl[[#This Row],[BASE SALARY]:[COMMISSION]])</f>
        <v>91600</v>
      </c>
      <c r="N144" s="11">
        <v>10</v>
      </c>
      <c r="O144" s="11">
        <v>2</v>
      </c>
      <c r="P144" s="11">
        <v>4</v>
      </c>
    </row>
    <row r="145" spans="1:16" x14ac:dyDescent="0.25">
      <c r="A145" s="11" t="s">
        <v>367</v>
      </c>
      <c r="B145" s="11" t="s">
        <v>368</v>
      </c>
      <c r="C145" s="11" t="s">
        <v>369</v>
      </c>
      <c r="D145" s="11" t="str">
        <f>Employees_Tbl[[#This Row],[LAST]] &amp;"." &amp; Employees_Tbl[[#This Row],[FIRST]]</f>
        <v>Reed.Scott</v>
      </c>
      <c r="E145" s="11" t="s">
        <v>26</v>
      </c>
      <c r="F145" s="14">
        <v>42648</v>
      </c>
      <c r="G145" s="25">
        <f>YEAR(Employees_Tbl[[#This Row],[HIRE DATE]])</f>
        <v>2016</v>
      </c>
      <c r="H145" s="11" t="s">
        <v>111</v>
      </c>
      <c r="I145" s="11" t="s">
        <v>112</v>
      </c>
      <c r="J145" s="12">
        <v>83500</v>
      </c>
      <c r="K145" s="12">
        <v>2500</v>
      </c>
      <c r="L145" s="13">
        <v>0</v>
      </c>
      <c r="M145" s="13">
        <f>SUM(Employees_Tbl[[#This Row],[BASE SALARY]:[COMMISSION]])</f>
        <v>86000</v>
      </c>
      <c r="N145" s="11">
        <v>10</v>
      </c>
      <c r="O145" s="11">
        <v>6</v>
      </c>
      <c r="P145" s="11">
        <v>4</v>
      </c>
    </row>
    <row r="146" spans="1:16" x14ac:dyDescent="0.25">
      <c r="A146" s="11" t="s">
        <v>362</v>
      </c>
      <c r="B146" s="11" t="s">
        <v>363</v>
      </c>
      <c r="C146" s="11" t="s">
        <v>364</v>
      </c>
      <c r="D146" s="11" t="str">
        <f>Employees_Tbl[[#This Row],[LAST]] &amp;"." &amp; Employees_Tbl[[#This Row],[FIRST]]</f>
        <v>Berry.Albert</v>
      </c>
      <c r="E146" s="11" t="s">
        <v>26</v>
      </c>
      <c r="F146" s="14">
        <v>42493</v>
      </c>
      <c r="G146" s="25">
        <f>YEAR(Employees_Tbl[[#This Row],[HIRE DATE]])</f>
        <v>2016</v>
      </c>
      <c r="H146" s="11" t="s">
        <v>111</v>
      </c>
      <c r="I146" s="11" t="s">
        <v>112</v>
      </c>
      <c r="J146" s="12">
        <v>75400</v>
      </c>
      <c r="K146" s="12">
        <v>2000</v>
      </c>
      <c r="L146" s="13">
        <v>0</v>
      </c>
      <c r="M146" s="13">
        <f>SUM(Employees_Tbl[[#This Row],[BASE SALARY]:[COMMISSION]])</f>
        <v>77400</v>
      </c>
      <c r="N146" s="11">
        <v>14</v>
      </c>
      <c r="O146" s="11">
        <v>6</v>
      </c>
      <c r="P146" s="11">
        <v>4</v>
      </c>
    </row>
    <row r="147" spans="1:16" x14ac:dyDescent="0.25">
      <c r="A147" s="11" t="s">
        <v>365</v>
      </c>
      <c r="B147" s="11" t="s">
        <v>137</v>
      </c>
      <c r="C147" s="11" t="s">
        <v>366</v>
      </c>
      <c r="D147" s="11" t="str">
        <f>Employees_Tbl[[#This Row],[LAST]] &amp;"." &amp; Employees_Tbl[[#This Row],[FIRST]]</f>
        <v>Victoria.Timothy</v>
      </c>
      <c r="E147" s="11" t="s">
        <v>26</v>
      </c>
      <c r="F147" s="14">
        <v>42543</v>
      </c>
      <c r="G147" s="25">
        <f>YEAR(Employees_Tbl[[#This Row],[HIRE DATE]])</f>
        <v>2016</v>
      </c>
      <c r="H147" s="11" t="s">
        <v>111</v>
      </c>
      <c r="I147" s="11" t="s">
        <v>112</v>
      </c>
      <c r="J147" s="12">
        <v>75200</v>
      </c>
      <c r="K147" s="12">
        <v>2500</v>
      </c>
      <c r="L147" s="13">
        <v>0</v>
      </c>
      <c r="M147" s="13">
        <f>SUM(Employees_Tbl[[#This Row],[BASE SALARY]:[COMMISSION]])</f>
        <v>77700</v>
      </c>
      <c r="N147" s="11">
        <v>17</v>
      </c>
      <c r="O147" s="11">
        <v>6</v>
      </c>
      <c r="P147" s="11">
        <v>5</v>
      </c>
    </row>
    <row r="148" spans="1:16" x14ac:dyDescent="0.25">
      <c r="A148" s="11" t="s">
        <v>1087</v>
      </c>
      <c r="B148" s="11" t="s">
        <v>1088</v>
      </c>
      <c r="C148" s="11" t="s">
        <v>1089</v>
      </c>
      <c r="D148" s="11" t="str">
        <f>Employees_Tbl[[#This Row],[LAST]] &amp;"." &amp; Employees_Tbl[[#This Row],[FIRST]]</f>
        <v>Lucero.Josie</v>
      </c>
      <c r="E148" s="11" t="s">
        <v>26</v>
      </c>
      <c r="F148" s="14">
        <v>44075</v>
      </c>
      <c r="G148" s="25">
        <f>YEAR(Employees_Tbl[[#This Row],[HIRE DATE]])</f>
        <v>2020</v>
      </c>
      <c r="H148" s="11" t="s">
        <v>111</v>
      </c>
      <c r="I148" s="11" t="s">
        <v>112</v>
      </c>
      <c r="J148" s="12">
        <v>75200</v>
      </c>
      <c r="K148" s="12">
        <v>2000</v>
      </c>
      <c r="L148" s="13">
        <v>0</v>
      </c>
      <c r="M148" s="13">
        <f>SUM(Employees_Tbl[[#This Row],[BASE SALARY]:[COMMISSION]])</f>
        <v>77200</v>
      </c>
      <c r="N148" s="11">
        <v>17</v>
      </c>
      <c r="O148" s="11">
        <v>4</v>
      </c>
      <c r="P148" s="11">
        <v>4</v>
      </c>
    </row>
    <row r="149" spans="1:16" x14ac:dyDescent="0.25">
      <c r="A149" s="11" t="s">
        <v>192</v>
      </c>
      <c r="B149" s="11" t="s">
        <v>193</v>
      </c>
      <c r="C149" s="11" t="s">
        <v>194</v>
      </c>
      <c r="D149" s="11" t="str">
        <f>Employees_Tbl[[#This Row],[LAST]] &amp;"." &amp; Employees_Tbl[[#This Row],[FIRST]]</f>
        <v>Orr.Patricia</v>
      </c>
      <c r="E149" s="11" t="s">
        <v>26</v>
      </c>
      <c r="F149" s="14">
        <v>41830</v>
      </c>
      <c r="G149" s="25">
        <f>YEAR(Employees_Tbl[[#This Row],[HIRE DATE]])</f>
        <v>2014</v>
      </c>
      <c r="H149" s="11" t="s">
        <v>111</v>
      </c>
      <c r="I149" s="11" t="s">
        <v>112</v>
      </c>
      <c r="J149" s="12">
        <v>72600</v>
      </c>
      <c r="K149" s="12">
        <v>3000</v>
      </c>
      <c r="L149" s="13">
        <v>0</v>
      </c>
      <c r="M149" s="13">
        <f>SUM(Employees_Tbl[[#This Row],[BASE SALARY]:[COMMISSION]])</f>
        <v>75600</v>
      </c>
      <c r="N149" s="11">
        <v>17</v>
      </c>
      <c r="O149" s="11">
        <v>3</v>
      </c>
      <c r="P149" s="11">
        <v>4</v>
      </c>
    </row>
    <row r="150" spans="1:16" x14ac:dyDescent="0.25">
      <c r="A150" s="11" t="s">
        <v>116</v>
      </c>
      <c r="B150" s="11" t="s">
        <v>1329</v>
      </c>
      <c r="C150" s="11" t="s">
        <v>1330</v>
      </c>
      <c r="D150" s="11" t="str">
        <f>Employees_Tbl[[#This Row],[LAST]] &amp;"." &amp; Employees_Tbl[[#This Row],[FIRST]]</f>
        <v>Padron.Jose</v>
      </c>
      <c r="E150" s="11" t="s">
        <v>26</v>
      </c>
      <c r="F150" s="14">
        <v>41633</v>
      </c>
      <c r="G150" s="25">
        <f>YEAR(Employees_Tbl[[#This Row],[HIRE DATE]])</f>
        <v>2013</v>
      </c>
      <c r="H150" s="11" t="s">
        <v>111</v>
      </c>
      <c r="I150" s="11" t="s">
        <v>112</v>
      </c>
      <c r="J150" s="13">
        <v>72600</v>
      </c>
      <c r="K150" s="12">
        <v>2500</v>
      </c>
      <c r="L150" s="13">
        <v>0</v>
      </c>
      <c r="M150" s="13">
        <f>SUM(Employees_Tbl[[#This Row],[BASE SALARY]:[COMMISSION]])</f>
        <v>75100</v>
      </c>
      <c r="N150" s="11">
        <v>17</v>
      </c>
      <c r="O150" s="11">
        <v>2</v>
      </c>
      <c r="P150" s="11">
        <v>4</v>
      </c>
    </row>
    <row r="151" spans="1:16" x14ac:dyDescent="0.25">
      <c r="A151" s="11" t="s">
        <v>113</v>
      </c>
      <c r="B151" s="11" t="s">
        <v>114</v>
      </c>
      <c r="C151" s="11" t="s">
        <v>115</v>
      </c>
      <c r="D151" s="11" t="str">
        <f>Employees_Tbl[[#This Row],[LAST]] &amp;"." &amp; Employees_Tbl[[#This Row],[FIRST]]</f>
        <v>Dyer.William</v>
      </c>
      <c r="E151" s="11" t="s">
        <v>26</v>
      </c>
      <c r="F151" s="14">
        <v>41590</v>
      </c>
      <c r="G151" s="25">
        <f>YEAR(Employees_Tbl[[#This Row],[HIRE DATE]])</f>
        <v>2013</v>
      </c>
      <c r="H151" s="11" t="s">
        <v>111</v>
      </c>
      <c r="I151" s="11" t="s">
        <v>112</v>
      </c>
      <c r="J151" s="12">
        <v>70900</v>
      </c>
      <c r="K151" s="12">
        <v>2500</v>
      </c>
      <c r="L151" s="13">
        <v>0</v>
      </c>
      <c r="M151" s="13">
        <f>SUM(Employees_Tbl[[#This Row],[BASE SALARY]:[COMMISSION]])</f>
        <v>73400</v>
      </c>
      <c r="N151" s="11">
        <v>18</v>
      </c>
      <c r="O151" s="11">
        <v>7</v>
      </c>
      <c r="P151" s="11">
        <v>3</v>
      </c>
    </row>
    <row r="152" spans="1:16" x14ac:dyDescent="0.25">
      <c r="A152" s="11" t="s">
        <v>286</v>
      </c>
      <c r="B152" s="11" t="s">
        <v>287</v>
      </c>
      <c r="C152" s="11" t="s">
        <v>288</v>
      </c>
      <c r="D152" s="11" t="str">
        <f>Employees_Tbl[[#This Row],[LAST]] &amp;"." &amp; Employees_Tbl[[#This Row],[FIRST]]</f>
        <v>Butler.Crystal</v>
      </c>
      <c r="E152" s="11" t="s">
        <v>26</v>
      </c>
      <c r="F152" s="14">
        <v>42154</v>
      </c>
      <c r="G152" s="25">
        <f>YEAR(Employees_Tbl[[#This Row],[HIRE DATE]])</f>
        <v>2015</v>
      </c>
      <c r="H152" s="11" t="s">
        <v>111</v>
      </c>
      <c r="I152" s="11" t="s">
        <v>112</v>
      </c>
      <c r="J152" s="12">
        <v>70900</v>
      </c>
      <c r="K152" s="12">
        <v>2000</v>
      </c>
      <c r="L152" s="13">
        <v>0</v>
      </c>
      <c r="M152" s="13">
        <f>SUM(Employees_Tbl[[#This Row],[BASE SALARY]:[COMMISSION]])</f>
        <v>72900</v>
      </c>
      <c r="N152" s="11">
        <v>10</v>
      </c>
      <c r="O152" s="11">
        <v>8</v>
      </c>
      <c r="P152" s="11">
        <v>3</v>
      </c>
    </row>
    <row r="153" spans="1:16" x14ac:dyDescent="0.25">
      <c r="A153" s="11" t="s">
        <v>684</v>
      </c>
      <c r="B153" s="11" t="s">
        <v>134</v>
      </c>
      <c r="C153" s="11" t="s">
        <v>685</v>
      </c>
      <c r="D153" s="11" t="str">
        <f>Employees_Tbl[[#This Row],[LAST]] &amp;"." &amp; Employees_Tbl[[#This Row],[FIRST]]</f>
        <v>Oh.James</v>
      </c>
      <c r="E153" s="11" t="s">
        <v>26</v>
      </c>
      <c r="F153" s="14">
        <v>43128</v>
      </c>
      <c r="G153" s="25">
        <f>YEAR(Employees_Tbl[[#This Row],[HIRE DATE]])</f>
        <v>2018</v>
      </c>
      <c r="H153" s="11" t="s">
        <v>111</v>
      </c>
      <c r="I153" s="11" t="s">
        <v>112</v>
      </c>
      <c r="J153" s="12">
        <v>67700</v>
      </c>
      <c r="K153" s="12">
        <v>2500</v>
      </c>
      <c r="L153" s="13">
        <v>0</v>
      </c>
      <c r="M153" s="13">
        <f>SUM(Employees_Tbl[[#This Row],[BASE SALARY]:[COMMISSION]])</f>
        <v>70200</v>
      </c>
      <c r="N153" s="11">
        <v>10</v>
      </c>
      <c r="O153" s="11">
        <v>7</v>
      </c>
      <c r="P153" s="11">
        <v>3</v>
      </c>
    </row>
    <row r="154" spans="1:16" x14ac:dyDescent="0.25">
      <c r="A154" s="11" t="s">
        <v>108</v>
      </c>
      <c r="B154" s="11" t="s">
        <v>109</v>
      </c>
      <c r="C154" s="11" t="s">
        <v>110</v>
      </c>
      <c r="D154" s="11" t="str">
        <f>Employees_Tbl[[#This Row],[LAST]] &amp;"." &amp; Employees_Tbl[[#This Row],[FIRST]]</f>
        <v>Procter.June</v>
      </c>
      <c r="E154" s="11" t="s">
        <v>26</v>
      </c>
      <c r="F154" s="14">
        <v>41604</v>
      </c>
      <c r="G154" s="25">
        <f>YEAR(Employees_Tbl[[#This Row],[HIRE DATE]])</f>
        <v>2013</v>
      </c>
      <c r="H154" s="11" t="s">
        <v>111</v>
      </c>
      <c r="I154" s="11" t="s">
        <v>112</v>
      </c>
      <c r="J154" s="12">
        <v>65600</v>
      </c>
      <c r="K154" s="12">
        <v>1500</v>
      </c>
      <c r="L154" s="13">
        <v>0</v>
      </c>
      <c r="M154" s="13">
        <f>SUM(Employees_Tbl[[#This Row],[BASE SALARY]:[COMMISSION]])</f>
        <v>67100</v>
      </c>
      <c r="N154" s="11">
        <v>18</v>
      </c>
      <c r="O154" s="11">
        <v>9</v>
      </c>
      <c r="P154" s="11">
        <v>2</v>
      </c>
    </row>
    <row r="155" spans="1:16" x14ac:dyDescent="0.25">
      <c r="A155" s="11" t="s">
        <v>559</v>
      </c>
      <c r="B155" s="11" t="s">
        <v>455</v>
      </c>
      <c r="C155" s="11" t="s">
        <v>560</v>
      </c>
      <c r="D155" s="11" t="str">
        <f>Employees_Tbl[[#This Row],[LAST]] &amp;"." &amp; Employees_Tbl[[#This Row],[FIRST]]</f>
        <v>Tucker.Sam</v>
      </c>
      <c r="E155" s="11" t="s">
        <v>26</v>
      </c>
      <c r="F155" s="14">
        <v>42797</v>
      </c>
      <c r="G155" s="25">
        <f>YEAR(Employees_Tbl[[#This Row],[HIRE DATE]])</f>
        <v>2017</v>
      </c>
      <c r="H155" s="11" t="s">
        <v>111</v>
      </c>
      <c r="I155" s="11" t="s">
        <v>112</v>
      </c>
      <c r="J155" s="12">
        <v>64100</v>
      </c>
      <c r="K155" s="12">
        <v>2000</v>
      </c>
      <c r="L155" s="13">
        <v>0</v>
      </c>
      <c r="M155" s="13">
        <f>SUM(Employees_Tbl[[#This Row],[BASE SALARY]:[COMMISSION]])</f>
        <v>66100</v>
      </c>
      <c r="N155" s="11">
        <v>14</v>
      </c>
      <c r="O155" s="11">
        <v>3</v>
      </c>
      <c r="P155" s="11">
        <v>3</v>
      </c>
    </row>
    <row r="156" spans="1:16" x14ac:dyDescent="0.25">
      <c r="A156" s="11" t="s">
        <v>893</v>
      </c>
      <c r="B156" s="11" t="s">
        <v>363</v>
      </c>
      <c r="C156" s="11" t="s">
        <v>894</v>
      </c>
      <c r="D156" s="11" t="str">
        <f>Employees_Tbl[[#This Row],[LAST]] &amp;"." &amp; Employees_Tbl[[#This Row],[FIRST]]</f>
        <v>Jacks.Albert</v>
      </c>
      <c r="E156" s="11" t="s">
        <v>26</v>
      </c>
      <c r="F156" s="14">
        <v>43619</v>
      </c>
      <c r="G156" s="25">
        <f>YEAR(Employees_Tbl[[#This Row],[HIRE DATE]])</f>
        <v>2019</v>
      </c>
      <c r="H156" s="11" t="s">
        <v>111</v>
      </c>
      <c r="I156" s="11" t="s">
        <v>112</v>
      </c>
      <c r="J156" s="12">
        <v>57000</v>
      </c>
      <c r="K156" s="12">
        <v>2000</v>
      </c>
      <c r="L156" s="13">
        <v>0</v>
      </c>
      <c r="M156" s="13">
        <f>SUM(Employees_Tbl[[#This Row],[BASE SALARY]:[COMMISSION]])</f>
        <v>59000</v>
      </c>
      <c r="N156" s="11">
        <v>10</v>
      </c>
      <c r="O156" s="11">
        <v>5</v>
      </c>
      <c r="P156" s="11">
        <v>4</v>
      </c>
    </row>
    <row r="157" spans="1:16" x14ac:dyDescent="0.25">
      <c r="A157" s="11" t="s">
        <v>189</v>
      </c>
      <c r="B157" s="11" t="s">
        <v>190</v>
      </c>
      <c r="C157" s="11" t="s">
        <v>191</v>
      </c>
      <c r="D157" s="11" t="str">
        <f>Employees_Tbl[[#This Row],[LAST]] &amp;"." &amp; Employees_Tbl[[#This Row],[FIRST]]</f>
        <v>Dozier.Patsy</v>
      </c>
      <c r="E157" s="11" t="s">
        <v>26</v>
      </c>
      <c r="F157" s="14">
        <v>41895</v>
      </c>
      <c r="G157" s="25">
        <f>YEAR(Employees_Tbl[[#This Row],[HIRE DATE]])</f>
        <v>2014</v>
      </c>
      <c r="H157" s="11" t="s">
        <v>111</v>
      </c>
      <c r="I157" s="11" t="s">
        <v>112</v>
      </c>
      <c r="J157" s="12">
        <v>54800</v>
      </c>
      <c r="K157" s="12">
        <v>1000</v>
      </c>
      <c r="L157" s="13">
        <v>0</v>
      </c>
      <c r="M157" s="13">
        <f>SUM(Employees_Tbl[[#This Row],[BASE SALARY]:[COMMISSION]])</f>
        <v>55800</v>
      </c>
      <c r="N157" s="11">
        <v>16</v>
      </c>
      <c r="O157" s="11">
        <v>8</v>
      </c>
      <c r="P157" s="11">
        <v>5</v>
      </c>
    </row>
    <row r="158" spans="1:16" x14ac:dyDescent="0.25">
      <c r="A158" s="11" t="s">
        <v>1085</v>
      </c>
      <c r="B158" s="11" t="s">
        <v>1086</v>
      </c>
      <c r="C158" s="11" t="s">
        <v>717</v>
      </c>
      <c r="D158" s="11" t="str">
        <f>Employees_Tbl[[#This Row],[LAST]] &amp;"." &amp; Employees_Tbl[[#This Row],[FIRST]]</f>
        <v>Chiles.Vanessa</v>
      </c>
      <c r="E158" s="11" t="s">
        <v>26</v>
      </c>
      <c r="F158" s="14">
        <v>43913</v>
      </c>
      <c r="G158" s="25">
        <f>YEAR(Employees_Tbl[[#This Row],[HIRE DATE]])</f>
        <v>2020</v>
      </c>
      <c r="H158" s="11" t="s">
        <v>111</v>
      </c>
      <c r="I158" s="11" t="s">
        <v>112</v>
      </c>
      <c r="J158" s="12">
        <v>45000</v>
      </c>
      <c r="K158" s="12">
        <v>2000</v>
      </c>
      <c r="L158" s="13">
        <v>0</v>
      </c>
      <c r="M158" s="13">
        <f>SUM(Employees_Tbl[[#This Row],[BASE SALARY]:[COMMISSION]])</f>
        <v>47000</v>
      </c>
      <c r="N158" s="11">
        <v>15</v>
      </c>
      <c r="O158" s="11">
        <v>7</v>
      </c>
      <c r="P158" s="11">
        <v>5</v>
      </c>
    </row>
    <row r="159" spans="1:16" x14ac:dyDescent="0.25">
      <c r="A159" s="11" t="s">
        <v>558</v>
      </c>
      <c r="B159" s="11" t="s">
        <v>294</v>
      </c>
      <c r="C159" s="11" t="s">
        <v>86</v>
      </c>
      <c r="D159" s="11" t="str">
        <f>Employees_Tbl[[#This Row],[LAST]] &amp;"." &amp; Employees_Tbl[[#This Row],[FIRST]]</f>
        <v>Harris.Nelson</v>
      </c>
      <c r="E159" s="11" t="s">
        <v>26</v>
      </c>
      <c r="F159" s="14">
        <v>42872</v>
      </c>
      <c r="G159" s="25">
        <f>YEAR(Employees_Tbl[[#This Row],[HIRE DATE]])</f>
        <v>2017</v>
      </c>
      <c r="H159" s="11" t="s">
        <v>111</v>
      </c>
      <c r="I159" s="11" t="s">
        <v>112</v>
      </c>
      <c r="J159" s="12">
        <v>43100</v>
      </c>
      <c r="K159" s="12">
        <v>1500</v>
      </c>
      <c r="L159" s="13">
        <v>0</v>
      </c>
      <c r="M159" s="13">
        <f>SUM(Employees_Tbl[[#This Row],[BASE SALARY]:[COMMISSION]])</f>
        <v>44600</v>
      </c>
      <c r="N159" s="11">
        <v>12</v>
      </c>
      <c r="O159" s="11">
        <v>5</v>
      </c>
      <c r="P159" s="11">
        <v>3</v>
      </c>
    </row>
    <row r="160" spans="1:16" x14ac:dyDescent="0.25">
      <c r="A160" s="11" t="s">
        <v>1082</v>
      </c>
      <c r="B160" s="11" t="s">
        <v>1083</v>
      </c>
      <c r="C160" s="11" t="s">
        <v>1084</v>
      </c>
      <c r="D160" s="11" t="str">
        <f>Employees_Tbl[[#This Row],[LAST]] &amp;"." &amp; Employees_Tbl[[#This Row],[FIRST]]</f>
        <v>Didonato.Francisca</v>
      </c>
      <c r="E160" s="11" t="s">
        <v>26</v>
      </c>
      <c r="F160" s="14">
        <v>44121</v>
      </c>
      <c r="G160" s="25">
        <f>YEAR(Employees_Tbl[[#This Row],[HIRE DATE]])</f>
        <v>2020</v>
      </c>
      <c r="H160" s="11" t="s">
        <v>111</v>
      </c>
      <c r="I160" s="11" t="s">
        <v>112</v>
      </c>
      <c r="J160" s="12">
        <v>39400</v>
      </c>
      <c r="K160" s="12">
        <v>1500</v>
      </c>
      <c r="L160" s="13">
        <v>0</v>
      </c>
      <c r="M160" s="13">
        <f>SUM(Employees_Tbl[[#This Row],[BASE SALARY]:[COMMISSION]])</f>
        <v>40900</v>
      </c>
      <c r="N160" s="11">
        <v>18</v>
      </c>
      <c r="O160" s="11">
        <v>5</v>
      </c>
      <c r="P160" s="11">
        <v>3</v>
      </c>
    </row>
    <row r="161" spans="1:16" x14ac:dyDescent="0.25">
      <c r="A161" s="11" t="s">
        <v>555</v>
      </c>
      <c r="B161" s="11" t="s">
        <v>556</v>
      </c>
      <c r="C161" s="11" t="s">
        <v>557</v>
      </c>
      <c r="D161" s="11" t="str">
        <f>Employees_Tbl[[#This Row],[LAST]] &amp;"." &amp; Employees_Tbl[[#This Row],[FIRST]]</f>
        <v>Leo.Rebecca</v>
      </c>
      <c r="E161" s="11" t="s">
        <v>26</v>
      </c>
      <c r="F161" s="14">
        <v>42782</v>
      </c>
      <c r="G161" s="25">
        <f>YEAR(Employees_Tbl[[#This Row],[HIRE DATE]])</f>
        <v>2017</v>
      </c>
      <c r="H161" s="11" t="s">
        <v>111</v>
      </c>
      <c r="I161" s="11" t="s">
        <v>112</v>
      </c>
      <c r="J161" s="12">
        <v>37800</v>
      </c>
      <c r="K161" s="12">
        <v>1000</v>
      </c>
      <c r="L161" s="13">
        <v>0</v>
      </c>
      <c r="M161" s="13">
        <f>SUM(Employees_Tbl[[#This Row],[BASE SALARY]:[COMMISSION]])</f>
        <v>38800</v>
      </c>
      <c r="N161" s="11">
        <v>13</v>
      </c>
      <c r="O161" s="11">
        <v>8</v>
      </c>
      <c r="P161" s="11">
        <v>5</v>
      </c>
    </row>
    <row r="162" spans="1:16" x14ac:dyDescent="0.25">
      <c r="A162" s="11" t="s">
        <v>1081</v>
      </c>
      <c r="B162" s="11" t="s">
        <v>204</v>
      </c>
      <c r="C162" s="11" t="s">
        <v>545</v>
      </c>
      <c r="D162" s="11" t="str">
        <f>Employees_Tbl[[#This Row],[LAST]] &amp;"." &amp; Employees_Tbl[[#This Row],[FIRST]]</f>
        <v>Collins.Richard</v>
      </c>
      <c r="E162" s="11" t="s">
        <v>26</v>
      </c>
      <c r="F162" s="14">
        <v>43897</v>
      </c>
      <c r="G162" s="25">
        <f>YEAR(Employees_Tbl[[#This Row],[HIRE DATE]])</f>
        <v>2020</v>
      </c>
      <c r="H162" s="11" t="s">
        <v>111</v>
      </c>
      <c r="I162" s="11" t="s">
        <v>112</v>
      </c>
      <c r="J162" s="13">
        <v>32300</v>
      </c>
      <c r="K162" s="12">
        <v>1000</v>
      </c>
      <c r="L162" s="13">
        <v>0</v>
      </c>
      <c r="M162" s="13">
        <f>SUM(Employees_Tbl[[#This Row],[BASE SALARY]:[COMMISSION]])</f>
        <v>33300</v>
      </c>
      <c r="N162" s="11">
        <v>14</v>
      </c>
      <c r="O162" s="11">
        <v>3</v>
      </c>
      <c r="P162" s="11">
        <v>3</v>
      </c>
    </row>
    <row r="163" spans="1:16" x14ac:dyDescent="0.25">
      <c r="A163" s="11" t="s">
        <v>1093</v>
      </c>
      <c r="B163" s="11" t="s">
        <v>134</v>
      </c>
      <c r="C163" s="11" t="s">
        <v>1094</v>
      </c>
      <c r="D163" s="11" t="str">
        <f>Employees_Tbl[[#This Row],[LAST]] &amp;"." &amp; Employees_Tbl[[#This Row],[FIRST]]</f>
        <v>Mosley.James</v>
      </c>
      <c r="E163" s="11" t="s">
        <v>33</v>
      </c>
      <c r="F163" s="14">
        <v>44029</v>
      </c>
      <c r="G163" s="25">
        <f>YEAR(Employees_Tbl[[#This Row],[HIRE DATE]])</f>
        <v>2020</v>
      </c>
      <c r="H163" s="11" t="s">
        <v>111</v>
      </c>
      <c r="I163" s="11" t="s">
        <v>112</v>
      </c>
      <c r="J163" s="12">
        <v>70300</v>
      </c>
      <c r="K163" s="12">
        <v>2000</v>
      </c>
      <c r="L163" s="13">
        <v>0</v>
      </c>
      <c r="M163" s="13">
        <f>SUM(Employees_Tbl[[#This Row],[BASE SALARY]:[COMMISSION]])</f>
        <v>72300</v>
      </c>
      <c r="N163" s="11">
        <v>13</v>
      </c>
      <c r="O163" s="11">
        <v>6</v>
      </c>
      <c r="P163" s="11">
        <v>3</v>
      </c>
    </row>
    <row r="164" spans="1:16" x14ac:dyDescent="0.25">
      <c r="A164" s="11" t="s">
        <v>561</v>
      </c>
      <c r="B164" s="11" t="s">
        <v>562</v>
      </c>
      <c r="C164" s="11" t="s">
        <v>563</v>
      </c>
      <c r="D164" s="11" t="str">
        <f>Employees_Tbl[[#This Row],[LAST]] &amp;"." &amp; Employees_Tbl[[#This Row],[FIRST]]</f>
        <v>Byas.Shantel</v>
      </c>
      <c r="E164" s="11" t="s">
        <v>33</v>
      </c>
      <c r="F164" s="14">
        <v>42997</v>
      </c>
      <c r="G164" s="25">
        <f>YEAR(Employees_Tbl[[#This Row],[HIRE DATE]])</f>
        <v>2017</v>
      </c>
      <c r="H164" s="11" t="s">
        <v>111</v>
      </c>
      <c r="I164" s="11" t="s">
        <v>112</v>
      </c>
      <c r="J164" s="12">
        <v>67800</v>
      </c>
      <c r="K164" s="12">
        <v>2000</v>
      </c>
      <c r="L164" s="13">
        <v>0</v>
      </c>
      <c r="M164" s="13">
        <f>SUM(Employees_Tbl[[#This Row],[BASE SALARY]:[COMMISSION]])</f>
        <v>69800</v>
      </c>
      <c r="N164" s="11">
        <v>12</v>
      </c>
      <c r="O164" s="11">
        <v>2</v>
      </c>
      <c r="P164" s="11">
        <v>2</v>
      </c>
    </row>
    <row r="165" spans="1:16" x14ac:dyDescent="0.25">
      <c r="A165" s="11" t="s">
        <v>292</v>
      </c>
      <c r="B165" s="11" t="s">
        <v>293</v>
      </c>
      <c r="C165" s="11" t="s">
        <v>294</v>
      </c>
      <c r="D165" s="11" t="str">
        <f>Employees_Tbl[[#This Row],[LAST]] &amp;"." &amp; Employees_Tbl[[#This Row],[FIRST]]</f>
        <v>Nelson.Sherri</v>
      </c>
      <c r="E165" s="11" t="s">
        <v>33</v>
      </c>
      <c r="F165" s="14">
        <v>42340</v>
      </c>
      <c r="G165" s="25">
        <f>YEAR(Employees_Tbl[[#This Row],[HIRE DATE]])</f>
        <v>2015</v>
      </c>
      <c r="H165" s="11" t="s">
        <v>111</v>
      </c>
      <c r="I165" s="11" t="s">
        <v>112</v>
      </c>
      <c r="J165" s="12">
        <v>61800</v>
      </c>
      <c r="K165" s="12">
        <v>2000</v>
      </c>
      <c r="L165" s="13">
        <v>0</v>
      </c>
      <c r="M165" s="13">
        <f>SUM(Employees_Tbl[[#This Row],[BASE SALARY]:[COMMISSION]])</f>
        <v>63800</v>
      </c>
      <c r="N165" s="11">
        <v>14</v>
      </c>
      <c r="O165" s="11">
        <v>2</v>
      </c>
      <c r="P165" s="11">
        <v>3</v>
      </c>
    </row>
    <row r="166" spans="1:16" x14ac:dyDescent="0.25">
      <c r="A166" s="11" t="s">
        <v>117</v>
      </c>
      <c r="B166" s="11" t="s">
        <v>118</v>
      </c>
      <c r="C166" s="11" t="s">
        <v>1327</v>
      </c>
      <c r="D166" s="11" t="str">
        <f>Employees_Tbl[[#This Row],[LAST]] &amp;"." &amp; Employees_Tbl[[#This Row],[FIRST]]</f>
        <v>Saint John.Martha</v>
      </c>
      <c r="E166" s="11" t="s">
        <v>33</v>
      </c>
      <c r="F166" s="14">
        <v>41619</v>
      </c>
      <c r="G166" s="25">
        <f>YEAR(Employees_Tbl[[#This Row],[HIRE DATE]])</f>
        <v>2013</v>
      </c>
      <c r="H166" s="11" t="s">
        <v>111</v>
      </c>
      <c r="I166" s="11" t="s">
        <v>112</v>
      </c>
      <c r="J166" s="12">
        <v>58400</v>
      </c>
      <c r="K166" s="12">
        <v>2000</v>
      </c>
      <c r="L166" s="13">
        <v>0</v>
      </c>
      <c r="M166" s="13">
        <f>SUM(Employees_Tbl[[#This Row],[BASE SALARY]:[COMMISSION]])</f>
        <v>60400</v>
      </c>
      <c r="N166" s="11">
        <v>11</v>
      </c>
      <c r="O166" s="11">
        <v>4</v>
      </c>
      <c r="P166" s="11">
        <v>4</v>
      </c>
    </row>
    <row r="167" spans="1:16" x14ac:dyDescent="0.25">
      <c r="A167" s="11" t="s">
        <v>289</v>
      </c>
      <c r="B167" s="11" t="s">
        <v>290</v>
      </c>
      <c r="C167" s="11" t="s">
        <v>291</v>
      </c>
      <c r="D167" s="11" t="str">
        <f>Employees_Tbl[[#This Row],[LAST]] &amp;"." &amp; Employees_Tbl[[#This Row],[FIRST]]</f>
        <v>Pfaff.Lawrence</v>
      </c>
      <c r="E167" s="11" t="s">
        <v>33</v>
      </c>
      <c r="F167" s="14">
        <v>42016</v>
      </c>
      <c r="G167" s="25">
        <f>YEAR(Employees_Tbl[[#This Row],[HIRE DATE]])</f>
        <v>2015</v>
      </c>
      <c r="H167" s="11" t="s">
        <v>111</v>
      </c>
      <c r="I167" s="11" t="s">
        <v>112</v>
      </c>
      <c r="J167" s="12">
        <v>57500</v>
      </c>
      <c r="K167" s="12">
        <v>1500</v>
      </c>
      <c r="L167" s="13">
        <v>0</v>
      </c>
      <c r="M167" s="13">
        <f>SUM(Employees_Tbl[[#This Row],[BASE SALARY]:[COMMISSION]])</f>
        <v>59000</v>
      </c>
      <c r="N167" s="11">
        <v>12</v>
      </c>
      <c r="O167" s="11">
        <v>4</v>
      </c>
      <c r="P167" s="11">
        <v>3</v>
      </c>
    </row>
    <row r="168" spans="1:16" x14ac:dyDescent="0.25">
      <c r="A168" s="11" t="s">
        <v>370</v>
      </c>
      <c r="B168" s="11" t="s">
        <v>969</v>
      </c>
      <c r="C168" s="11" t="s">
        <v>560</v>
      </c>
      <c r="D168" s="11" t="str">
        <f>Employees_Tbl[[#This Row],[LAST]] &amp;"." &amp; Employees_Tbl[[#This Row],[FIRST]]</f>
        <v>Tucker.Ray</v>
      </c>
      <c r="E168" s="11" t="s">
        <v>33</v>
      </c>
      <c r="F168" s="14">
        <v>42416</v>
      </c>
      <c r="G168" s="25">
        <f>YEAR(Employees_Tbl[[#This Row],[HIRE DATE]])</f>
        <v>2016</v>
      </c>
      <c r="H168" s="11" t="s">
        <v>111</v>
      </c>
      <c r="I168" s="11" t="s">
        <v>112</v>
      </c>
      <c r="J168" s="13">
        <v>55500</v>
      </c>
      <c r="K168" s="12">
        <v>1500</v>
      </c>
      <c r="L168" s="13">
        <v>0</v>
      </c>
      <c r="M168" s="13">
        <f>SUM(Employees_Tbl[[#This Row],[BASE SALARY]:[COMMISSION]])</f>
        <v>57000</v>
      </c>
      <c r="N168" s="11">
        <v>10</v>
      </c>
      <c r="O168" s="11">
        <v>3</v>
      </c>
      <c r="P168" s="11">
        <v>4</v>
      </c>
    </row>
    <row r="169" spans="1:16" x14ac:dyDescent="0.25">
      <c r="A169" s="11" t="s">
        <v>1090</v>
      </c>
      <c r="B169" s="11" t="s">
        <v>1091</v>
      </c>
      <c r="C169" s="11" t="s">
        <v>1092</v>
      </c>
      <c r="D169" s="11" t="str">
        <f>Employees_Tbl[[#This Row],[LAST]] &amp;"." &amp; Employees_Tbl[[#This Row],[FIRST]]</f>
        <v>Goodell.Manuel</v>
      </c>
      <c r="E169" s="11" t="s">
        <v>33</v>
      </c>
      <c r="F169" s="14">
        <v>43862</v>
      </c>
      <c r="G169" s="25">
        <f>YEAR(Employees_Tbl[[#This Row],[HIRE DATE]])</f>
        <v>2020</v>
      </c>
      <c r="H169" s="11" t="s">
        <v>111</v>
      </c>
      <c r="I169" s="11" t="s">
        <v>112</v>
      </c>
      <c r="J169" s="12">
        <v>39900</v>
      </c>
      <c r="K169" s="12">
        <v>1000</v>
      </c>
      <c r="L169" s="13">
        <v>0</v>
      </c>
      <c r="M169" s="13">
        <f>SUM(Employees_Tbl[[#This Row],[BASE SALARY]:[COMMISSION]])</f>
        <v>40900</v>
      </c>
      <c r="N169" s="11">
        <v>15</v>
      </c>
      <c r="O169" s="11">
        <v>1</v>
      </c>
      <c r="P169" s="11">
        <v>5</v>
      </c>
    </row>
    <row r="170" spans="1:16" x14ac:dyDescent="0.25">
      <c r="A170" s="11" t="s">
        <v>301</v>
      </c>
      <c r="B170" s="11" t="s">
        <v>302</v>
      </c>
      <c r="C170" s="11" t="s">
        <v>303</v>
      </c>
      <c r="D170" s="11" t="str">
        <f>Employees_Tbl[[#This Row],[LAST]] &amp;"." &amp; Employees_Tbl[[#This Row],[FIRST]]</f>
        <v>Treadwell.Bennie</v>
      </c>
      <c r="E170" s="11" t="s">
        <v>37</v>
      </c>
      <c r="F170" s="14">
        <v>42189</v>
      </c>
      <c r="G170" s="25">
        <f>YEAR(Employees_Tbl[[#This Row],[HIRE DATE]])</f>
        <v>2015</v>
      </c>
      <c r="H170" s="11" t="s">
        <v>111</v>
      </c>
      <c r="I170" s="11" t="s">
        <v>112</v>
      </c>
      <c r="J170" s="12">
        <v>126900</v>
      </c>
      <c r="K170" s="12">
        <v>5000</v>
      </c>
      <c r="L170" s="13">
        <v>0</v>
      </c>
      <c r="M170" s="13">
        <f>SUM(Employees_Tbl[[#This Row],[BASE SALARY]:[COMMISSION]])</f>
        <v>131900</v>
      </c>
      <c r="N170" s="11">
        <v>15</v>
      </c>
      <c r="O170" s="11">
        <v>6</v>
      </c>
      <c r="P170" s="11">
        <v>3</v>
      </c>
    </row>
    <row r="171" spans="1:16" x14ac:dyDescent="0.25">
      <c r="A171" s="11" t="s">
        <v>200</v>
      </c>
      <c r="B171" s="11" t="s">
        <v>201</v>
      </c>
      <c r="C171" s="11" t="s">
        <v>202</v>
      </c>
      <c r="D171" s="11" t="str">
        <f>Employees_Tbl[[#This Row],[LAST]] &amp;"." &amp; Employees_Tbl[[#This Row],[FIRST]]</f>
        <v>Boyster.Ralph</v>
      </c>
      <c r="E171" s="11" t="s">
        <v>37</v>
      </c>
      <c r="F171" s="14">
        <v>41641</v>
      </c>
      <c r="G171" s="25">
        <f>YEAR(Employees_Tbl[[#This Row],[HIRE DATE]])</f>
        <v>2014</v>
      </c>
      <c r="H171" s="11" t="s">
        <v>111</v>
      </c>
      <c r="I171" s="11" t="s">
        <v>112</v>
      </c>
      <c r="J171" s="12">
        <v>119700</v>
      </c>
      <c r="K171" s="12">
        <v>2000</v>
      </c>
      <c r="L171" s="13">
        <v>0</v>
      </c>
      <c r="M171" s="13">
        <f>SUM(Employees_Tbl[[#This Row],[BASE SALARY]:[COMMISSION]])</f>
        <v>121700</v>
      </c>
      <c r="N171" s="11">
        <v>13</v>
      </c>
      <c r="O171" s="11">
        <v>8</v>
      </c>
      <c r="P171" s="11">
        <v>3</v>
      </c>
    </row>
    <row r="172" spans="1:16" x14ac:dyDescent="0.25">
      <c r="A172" s="11" t="s">
        <v>298</v>
      </c>
      <c r="B172" s="11" t="s">
        <v>299</v>
      </c>
      <c r="C172" s="11" t="s">
        <v>300</v>
      </c>
      <c r="D172" s="11" t="str">
        <f>Employees_Tbl[[#This Row],[LAST]] &amp;"." &amp; Employees_Tbl[[#This Row],[FIRST]]</f>
        <v>Gilden.Luann</v>
      </c>
      <c r="E172" s="11" t="s">
        <v>37</v>
      </c>
      <c r="F172" s="14">
        <v>42277</v>
      </c>
      <c r="G172" s="25">
        <f>YEAR(Employees_Tbl[[#This Row],[HIRE DATE]])</f>
        <v>2015</v>
      </c>
      <c r="H172" s="11" t="s">
        <v>111</v>
      </c>
      <c r="I172" s="11" t="s">
        <v>112</v>
      </c>
      <c r="J172" s="12">
        <v>110500</v>
      </c>
      <c r="K172" s="12">
        <v>2500</v>
      </c>
      <c r="L172" s="13">
        <v>0</v>
      </c>
      <c r="M172" s="13">
        <f>SUM(Employees_Tbl[[#This Row],[BASE SALARY]:[COMMISSION]])</f>
        <v>113000</v>
      </c>
      <c r="N172" s="11">
        <v>11</v>
      </c>
      <c r="O172" s="11">
        <v>11</v>
      </c>
      <c r="P172" s="11">
        <v>2</v>
      </c>
    </row>
    <row r="173" spans="1:16" x14ac:dyDescent="0.25">
      <c r="A173" s="11" t="s">
        <v>121</v>
      </c>
      <c r="B173" s="11" t="s">
        <v>122</v>
      </c>
      <c r="C173" s="11" t="s">
        <v>123</v>
      </c>
      <c r="D173" s="11" t="str">
        <f>Employees_Tbl[[#This Row],[LAST]] &amp;"." &amp; Employees_Tbl[[#This Row],[FIRST]]</f>
        <v>Garcia.Olivia</v>
      </c>
      <c r="E173" s="11" t="s">
        <v>37</v>
      </c>
      <c r="F173" s="14">
        <v>41446</v>
      </c>
      <c r="G173" s="25">
        <f>YEAR(Employees_Tbl[[#This Row],[HIRE DATE]])</f>
        <v>2013</v>
      </c>
      <c r="H173" s="11" t="s">
        <v>111</v>
      </c>
      <c r="I173" s="11" t="s">
        <v>112</v>
      </c>
      <c r="J173" s="12">
        <v>101000</v>
      </c>
      <c r="K173" s="12">
        <v>4000</v>
      </c>
      <c r="L173" s="13">
        <v>0</v>
      </c>
      <c r="M173" s="13">
        <f>SUM(Employees_Tbl[[#This Row],[BASE SALARY]:[COMMISSION]])</f>
        <v>105000</v>
      </c>
      <c r="N173" s="11">
        <v>14</v>
      </c>
      <c r="O173" s="11">
        <v>9</v>
      </c>
      <c r="P173" s="11">
        <v>5</v>
      </c>
    </row>
    <row r="174" spans="1:16" x14ac:dyDescent="0.25">
      <c r="A174" s="11" t="s">
        <v>9</v>
      </c>
      <c r="B174" s="11" t="s">
        <v>119</v>
      </c>
      <c r="C174" s="11" t="s">
        <v>120</v>
      </c>
      <c r="D174" s="11" t="str">
        <f>Employees_Tbl[[#This Row],[LAST]] &amp;"." &amp; Employees_Tbl[[#This Row],[FIRST]]</f>
        <v>Nicholas.Brent</v>
      </c>
      <c r="E174" s="11" t="s">
        <v>37</v>
      </c>
      <c r="F174" s="14">
        <v>41358</v>
      </c>
      <c r="G174" s="25">
        <f>YEAR(Employees_Tbl[[#This Row],[HIRE DATE]])</f>
        <v>2013</v>
      </c>
      <c r="H174" s="11" t="s">
        <v>111</v>
      </c>
      <c r="I174" s="11" t="s">
        <v>112</v>
      </c>
      <c r="J174" s="12">
        <v>94100</v>
      </c>
      <c r="K174" s="12">
        <v>3000</v>
      </c>
      <c r="L174" s="13">
        <v>0</v>
      </c>
      <c r="M174" s="13">
        <f>SUM(Employees_Tbl[[#This Row],[BASE SALARY]:[COMMISSION]])</f>
        <v>97100</v>
      </c>
      <c r="N174" s="11">
        <v>13</v>
      </c>
      <c r="O174" s="11">
        <v>6</v>
      </c>
      <c r="P174" s="11">
        <v>5</v>
      </c>
    </row>
    <row r="175" spans="1:16" x14ac:dyDescent="0.25">
      <c r="A175" s="11" t="s">
        <v>371</v>
      </c>
      <c r="B175" s="11" t="s">
        <v>372</v>
      </c>
      <c r="C175" s="11" t="s">
        <v>373</v>
      </c>
      <c r="D175" s="11" t="str">
        <f>Employees_Tbl[[#This Row],[LAST]] &amp;"." &amp; Employees_Tbl[[#This Row],[FIRST]]</f>
        <v>Martin.Geneva</v>
      </c>
      <c r="E175" s="11" t="s">
        <v>37</v>
      </c>
      <c r="F175" s="14">
        <v>42408</v>
      </c>
      <c r="G175" s="25">
        <f>YEAR(Employees_Tbl[[#This Row],[HIRE DATE]])</f>
        <v>2016</v>
      </c>
      <c r="H175" s="11" t="s">
        <v>111</v>
      </c>
      <c r="I175" s="11" t="s">
        <v>112</v>
      </c>
      <c r="J175" s="12">
        <v>91900</v>
      </c>
      <c r="K175" s="12">
        <v>2500</v>
      </c>
      <c r="L175" s="13">
        <v>0</v>
      </c>
      <c r="M175" s="13">
        <f>SUM(Employees_Tbl[[#This Row],[BASE SALARY]:[COMMISSION]])</f>
        <v>94400</v>
      </c>
      <c r="N175" s="11">
        <v>17</v>
      </c>
      <c r="O175" s="11">
        <v>5</v>
      </c>
      <c r="P175" s="11">
        <v>4</v>
      </c>
    </row>
    <row r="176" spans="1:16" x14ac:dyDescent="0.25">
      <c r="A176" s="11" t="s">
        <v>1101</v>
      </c>
      <c r="B176" s="11" t="s">
        <v>114</v>
      </c>
      <c r="C176" s="11" t="s">
        <v>1345</v>
      </c>
      <c r="D176" s="11" t="str">
        <f>Employees_Tbl[[#This Row],[LAST]] &amp;"." &amp; Employees_Tbl[[#This Row],[FIRST]]</f>
        <v>Oconnell.William</v>
      </c>
      <c r="E176" s="11" t="s">
        <v>37</v>
      </c>
      <c r="F176" s="14">
        <v>43971</v>
      </c>
      <c r="G176" s="25">
        <f>YEAR(Employees_Tbl[[#This Row],[HIRE DATE]])</f>
        <v>2020</v>
      </c>
      <c r="H176" s="11" t="s">
        <v>111</v>
      </c>
      <c r="I176" s="11" t="s">
        <v>112</v>
      </c>
      <c r="J176" s="13">
        <v>85800</v>
      </c>
      <c r="K176" s="12">
        <v>2500</v>
      </c>
      <c r="L176" s="13">
        <v>0</v>
      </c>
      <c r="M176" s="13">
        <f>SUM(Employees_Tbl[[#This Row],[BASE SALARY]:[COMMISSION]])</f>
        <v>88300</v>
      </c>
      <c r="N176" s="11">
        <v>17</v>
      </c>
      <c r="O176" s="11">
        <v>7</v>
      </c>
      <c r="P176" s="11">
        <v>4</v>
      </c>
    </row>
    <row r="177" spans="1:16" x14ac:dyDescent="0.25">
      <c r="A177" s="11" t="s">
        <v>295</v>
      </c>
      <c r="B177" s="11" t="s">
        <v>296</v>
      </c>
      <c r="C177" s="11" t="s">
        <v>297</v>
      </c>
      <c r="D177" s="11" t="str">
        <f>Employees_Tbl[[#This Row],[LAST]] &amp;"." &amp; Employees_Tbl[[#This Row],[FIRST]]</f>
        <v>Aaron.Keith</v>
      </c>
      <c r="E177" s="11" t="s">
        <v>37</v>
      </c>
      <c r="F177" s="14">
        <v>42274</v>
      </c>
      <c r="G177" s="25">
        <f>YEAR(Employees_Tbl[[#This Row],[HIRE DATE]])</f>
        <v>2015</v>
      </c>
      <c r="H177" s="11" t="s">
        <v>111</v>
      </c>
      <c r="I177" s="11" t="s">
        <v>112</v>
      </c>
      <c r="J177" s="12">
        <v>85700</v>
      </c>
      <c r="K177" s="12">
        <v>2500</v>
      </c>
      <c r="L177" s="13">
        <v>0</v>
      </c>
      <c r="M177" s="13">
        <f>SUM(Employees_Tbl[[#This Row],[BASE SALARY]:[COMMISSION]])</f>
        <v>88200</v>
      </c>
      <c r="N177" s="11">
        <v>18</v>
      </c>
      <c r="O177" s="11">
        <v>6</v>
      </c>
      <c r="P177" s="11">
        <v>2</v>
      </c>
    </row>
    <row r="178" spans="1:16" x14ac:dyDescent="0.25">
      <c r="A178" s="11" t="s">
        <v>1095</v>
      </c>
      <c r="B178" s="11" t="s">
        <v>1096</v>
      </c>
      <c r="C178" s="11" t="s">
        <v>1097</v>
      </c>
      <c r="D178" s="11" t="str">
        <f>Employees_Tbl[[#This Row],[LAST]] &amp;"." &amp; Employees_Tbl[[#This Row],[FIRST]]</f>
        <v>Gertz.Ida</v>
      </c>
      <c r="E178" s="11" t="s">
        <v>37</v>
      </c>
      <c r="F178" s="14">
        <v>44157</v>
      </c>
      <c r="G178" s="25">
        <f>YEAR(Employees_Tbl[[#This Row],[HIRE DATE]])</f>
        <v>2020</v>
      </c>
      <c r="H178" s="11" t="s">
        <v>111</v>
      </c>
      <c r="I178" s="11" t="s">
        <v>112</v>
      </c>
      <c r="J178" s="12">
        <v>82800</v>
      </c>
      <c r="K178" s="12">
        <v>2000</v>
      </c>
      <c r="L178" s="13">
        <v>0</v>
      </c>
      <c r="M178" s="13">
        <f>SUM(Employees_Tbl[[#This Row],[BASE SALARY]:[COMMISSION]])</f>
        <v>84800</v>
      </c>
      <c r="N178" s="11">
        <v>18</v>
      </c>
      <c r="O178" s="11">
        <v>7</v>
      </c>
      <c r="P178" s="11">
        <v>5</v>
      </c>
    </row>
    <row r="179" spans="1:16" x14ac:dyDescent="0.25">
      <c r="A179" s="11" t="s">
        <v>1098</v>
      </c>
      <c r="B179" s="11" t="s">
        <v>1099</v>
      </c>
      <c r="C179" s="11" t="s">
        <v>1100</v>
      </c>
      <c r="D179" s="11" t="str">
        <f>Employees_Tbl[[#This Row],[LAST]] &amp;"." &amp; Employees_Tbl[[#This Row],[FIRST]]</f>
        <v>Blalock.Mildred</v>
      </c>
      <c r="E179" s="11" t="s">
        <v>37</v>
      </c>
      <c r="F179" s="14">
        <v>44167</v>
      </c>
      <c r="G179" s="25">
        <f>YEAR(Employees_Tbl[[#This Row],[HIRE DATE]])</f>
        <v>2020</v>
      </c>
      <c r="H179" s="11" t="s">
        <v>111</v>
      </c>
      <c r="I179" s="11" t="s">
        <v>112</v>
      </c>
      <c r="J179" s="12">
        <v>78900</v>
      </c>
      <c r="K179" s="12">
        <v>2000</v>
      </c>
      <c r="L179" s="13">
        <v>0</v>
      </c>
      <c r="M179" s="13">
        <f>SUM(Employees_Tbl[[#This Row],[BASE SALARY]:[COMMISSION]])</f>
        <v>80900</v>
      </c>
      <c r="N179" s="11">
        <v>17</v>
      </c>
      <c r="O179" s="11">
        <v>12</v>
      </c>
      <c r="P179" s="11">
        <v>4</v>
      </c>
    </row>
    <row r="180" spans="1:16" x14ac:dyDescent="0.25">
      <c r="A180" s="11" t="s">
        <v>570</v>
      </c>
      <c r="B180" s="11" t="s">
        <v>571</v>
      </c>
      <c r="C180" s="11" t="s">
        <v>572</v>
      </c>
      <c r="D180" s="11" t="str">
        <f>Employees_Tbl[[#This Row],[LAST]] &amp;"." &amp; Employees_Tbl[[#This Row],[FIRST]]</f>
        <v>Thorton.Jesse</v>
      </c>
      <c r="E180" s="11" t="s">
        <v>37</v>
      </c>
      <c r="F180" s="14">
        <v>42943</v>
      </c>
      <c r="G180" s="25">
        <f>YEAR(Employees_Tbl[[#This Row],[HIRE DATE]])</f>
        <v>2017</v>
      </c>
      <c r="H180" s="11" t="s">
        <v>111</v>
      </c>
      <c r="I180" s="11" t="s">
        <v>112</v>
      </c>
      <c r="J180" s="12">
        <v>76400</v>
      </c>
      <c r="K180" s="12">
        <v>1500</v>
      </c>
      <c r="L180" s="13">
        <v>0</v>
      </c>
      <c r="M180" s="13">
        <f>SUM(Employees_Tbl[[#This Row],[BASE SALARY]:[COMMISSION]])</f>
        <v>77900</v>
      </c>
      <c r="N180" s="11">
        <v>13</v>
      </c>
      <c r="O180" s="11">
        <v>8</v>
      </c>
      <c r="P180" s="11">
        <v>5</v>
      </c>
    </row>
    <row r="181" spans="1:16" x14ac:dyDescent="0.25">
      <c r="A181" s="11" t="s">
        <v>199</v>
      </c>
      <c r="B181" s="11" t="s">
        <v>1343</v>
      </c>
      <c r="C181" s="11" t="s">
        <v>1344</v>
      </c>
      <c r="D181" s="11" t="str">
        <f>Employees_Tbl[[#This Row],[LAST]] &amp;"." &amp; Employees_Tbl[[#This Row],[FIRST]]</f>
        <v>Etzel.Aurelia</v>
      </c>
      <c r="E181" s="11" t="s">
        <v>37</v>
      </c>
      <c r="F181" s="14">
        <v>41724</v>
      </c>
      <c r="G181" s="25">
        <f>YEAR(Employees_Tbl[[#This Row],[HIRE DATE]])</f>
        <v>2014</v>
      </c>
      <c r="H181" s="11" t="s">
        <v>111</v>
      </c>
      <c r="I181" s="11" t="s">
        <v>112</v>
      </c>
      <c r="J181" s="13">
        <v>71500</v>
      </c>
      <c r="K181" s="12">
        <v>2000</v>
      </c>
      <c r="L181" s="13">
        <v>0</v>
      </c>
      <c r="M181" s="13">
        <f>SUM(Employees_Tbl[[#This Row],[BASE SALARY]:[COMMISSION]])</f>
        <v>73500</v>
      </c>
      <c r="N181" s="11">
        <v>11</v>
      </c>
      <c r="O181" s="11">
        <v>7</v>
      </c>
      <c r="P181" s="11">
        <v>3</v>
      </c>
    </row>
    <row r="182" spans="1:16" x14ac:dyDescent="0.25">
      <c r="A182" s="11" t="s">
        <v>567</v>
      </c>
      <c r="B182" s="11" t="s">
        <v>568</v>
      </c>
      <c r="C182" s="11" t="s">
        <v>569</v>
      </c>
      <c r="D182" s="11" t="str">
        <f>Employees_Tbl[[#This Row],[LAST]] &amp;"." &amp; Employees_Tbl[[#This Row],[FIRST]]</f>
        <v>Reiner.Jack</v>
      </c>
      <c r="E182" s="11" t="s">
        <v>37</v>
      </c>
      <c r="F182" s="14">
        <v>42863</v>
      </c>
      <c r="G182" s="25">
        <f>YEAR(Employees_Tbl[[#This Row],[HIRE DATE]])</f>
        <v>2017</v>
      </c>
      <c r="H182" s="11" t="s">
        <v>111</v>
      </c>
      <c r="I182" s="11" t="s">
        <v>112</v>
      </c>
      <c r="J182" s="12">
        <v>69100</v>
      </c>
      <c r="K182" s="12">
        <v>2000</v>
      </c>
      <c r="L182" s="13">
        <v>0</v>
      </c>
      <c r="M182" s="13">
        <f>SUM(Employees_Tbl[[#This Row],[BASE SALARY]:[COMMISSION]])</f>
        <v>71100</v>
      </c>
      <c r="N182" s="11">
        <v>13</v>
      </c>
      <c r="O182" s="11">
        <v>6</v>
      </c>
      <c r="P182" s="11">
        <v>5</v>
      </c>
    </row>
    <row r="183" spans="1:16" x14ac:dyDescent="0.25">
      <c r="A183" s="11" t="s">
        <v>564</v>
      </c>
      <c r="B183" s="11" t="s">
        <v>565</v>
      </c>
      <c r="C183" s="11" t="s">
        <v>566</v>
      </c>
      <c r="D183" s="11" t="str">
        <f>Employees_Tbl[[#This Row],[LAST]] &amp;"." &amp; Employees_Tbl[[#This Row],[FIRST]]</f>
        <v>Carmody.Amber</v>
      </c>
      <c r="E183" s="11" t="s">
        <v>37</v>
      </c>
      <c r="F183" s="14">
        <v>42975</v>
      </c>
      <c r="G183" s="25">
        <f>YEAR(Employees_Tbl[[#This Row],[HIRE DATE]])</f>
        <v>2017</v>
      </c>
      <c r="H183" s="11" t="s">
        <v>111</v>
      </c>
      <c r="I183" s="11" t="s">
        <v>112</v>
      </c>
      <c r="J183" s="12">
        <v>46800</v>
      </c>
      <c r="K183" s="12">
        <v>2000</v>
      </c>
      <c r="L183" s="13">
        <v>0</v>
      </c>
      <c r="M183" s="13">
        <f>SUM(Employees_Tbl[[#This Row],[BASE SALARY]:[COMMISSION]])</f>
        <v>48800</v>
      </c>
      <c r="N183" s="11">
        <v>13</v>
      </c>
      <c r="O183" s="11">
        <v>11</v>
      </c>
      <c r="P183" s="11">
        <v>4</v>
      </c>
    </row>
    <row r="184" spans="1:16" x14ac:dyDescent="0.25">
      <c r="A184" s="11" t="s">
        <v>308</v>
      </c>
      <c r="B184" s="11" t="s">
        <v>309</v>
      </c>
      <c r="C184" s="11" t="s">
        <v>310</v>
      </c>
      <c r="D184" s="11" t="str">
        <f>Employees_Tbl[[#This Row],[LAST]] &amp;"." &amp; Employees_Tbl[[#This Row],[FIRST]]</f>
        <v>Adelman.Dayna</v>
      </c>
      <c r="E184" s="11" t="s">
        <v>41</v>
      </c>
      <c r="F184" s="14">
        <v>42289</v>
      </c>
      <c r="G184" s="25">
        <f>YEAR(Employees_Tbl[[#This Row],[HIRE DATE]])</f>
        <v>2015</v>
      </c>
      <c r="H184" s="11" t="s">
        <v>111</v>
      </c>
      <c r="I184" s="11" t="s">
        <v>112</v>
      </c>
      <c r="J184" s="12">
        <v>84000</v>
      </c>
      <c r="K184" s="12">
        <v>2500</v>
      </c>
      <c r="L184" s="13">
        <v>0</v>
      </c>
      <c r="M184" s="13">
        <f>SUM(Employees_Tbl[[#This Row],[BASE SALARY]:[COMMISSION]])</f>
        <v>86500</v>
      </c>
      <c r="N184" s="11">
        <v>17</v>
      </c>
      <c r="O184" s="11">
        <v>2</v>
      </c>
      <c r="P184" s="11">
        <v>5</v>
      </c>
    </row>
    <row r="185" spans="1:16" x14ac:dyDescent="0.25">
      <c r="A185" s="11" t="s">
        <v>691</v>
      </c>
      <c r="B185" s="11" t="s">
        <v>1367</v>
      </c>
      <c r="C185" s="11" t="s">
        <v>751</v>
      </c>
      <c r="D185" s="11" t="str">
        <f>Employees_Tbl[[#This Row],[LAST]] &amp;"." &amp; Employees_Tbl[[#This Row],[FIRST]]</f>
        <v>Johnson.Nikia</v>
      </c>
      <c r="E185" s="11" t="s">
        <v>41</v>
      </c>
      <c r="F185" s="14">
        <v>43314</v>
      </c>
      <c r="G185" s="25">
        <f>YEAR(Employees_Tbl[[#This Row],[HIRE DATE]])</f>
        <v>2018</v>
      </c>
      <c r="H185" s="11" t="s">
        <v>111</v>
      </c>
      <c r="I185" s="11" t="s">
        <v>112</v>
      </c>
      <c r="J185" s="12">
        <v>77300</v>
      </c>
      <c r="K185" s="12">
        <v>2000</v>
      </c>
      <c r="L185" s="13">
        <v>0</v>
      </c>
      <c r="M185" s="13">
        <f>SUM(Employees_Tbl[[#This Row],[BASE SALARY]:[COMMISSION]])</f>
        <v>79300</v>
      </c>
      <c r="N185" s="11">
        <v>15</v>
      </c>
      <c r="O185" s="11">
        <v>6</v>
      </c>
      <c r="P185" s="11">
        <v>4</v>
      </c>
    </row>
    <row r="186" spans="1:16" x14ac:dyDescent="0.25">
      <c r="A186" s="11" t="s">
        <v>581</v>
      </c>
      <c r="B186" s="11" t="s">
        <v>82</v>
      </c>
      <c r="C186" s="11" t="s">
        <v>334</v>
      </c>
      <c r="D186" s="11" t="str">
        <f>Employees_Tbl[[#This Row],[LAST]] &amp;"." &amp; Employees_Tbl[[#This Row],[FIRST]]</f>
        <v>Brown.Paul</v>
      </c>
      <c r="E186" s="11" t="s">
        <v>41</v>
      </c>
      <c r="F186" s="14">
        <v>42973</v>
      </c>
      <c r="G186" s="25">
        <f>YEAR(Employees_Tbl[[#This Row],[HIRE DATE]])</f>
        <v>2017</v>
      </c>
      <c r="H186" s="11" t="s">
        <v>111</v>
      </c>
      <c r="I186" s="11" t="s">
        <v>112</v>
      </c>
      <c r="J186" s="12">
        <v>74600</v>
      </c>
      <c r="K186" s="12">
        <v>2000</v>
      </c>
      <c r="L186" s="13">
        <v>0</v>
      </c>
      <c r="M186" s="13">
        <f>SUM(Employees_Tbl[[#This Row],[BASE SALARY]:[COMMISSION]])</f>
        <v>76600</v>
      </c>
      <c r="N186" s="11">
        <v>17</v>
      </c>
      <c r="O186" s="11">
        <v>3</v>
      </c>
      <c r="P186" s="11">
        <v>5</v>
      </c>
    </row>
    <row r="187" spans="1:16" x14ac:dyDescent="0.25">
      <c r="A187" s="11" t="s">
        <v>1371</v>
      </c>
      <c r="B187" s="11" t="s">
        <v>580</v>
      </c>
      <c r="C187" s="11" t="s">
        <v>1298</v>
      </c>
      <c r="D187" s="11" t="str">
        <f>Employees_Tbl[[#This Row],[LAST]] &amp;"." &amp; Employees_Tbl[[#This Row],[FIRST]]</f>
        <v>Melendez.Emma</v>
      </c>
      <c r="E187" s="11" t="s">
        <v>41</v>
      </c>
      <c r="F187" s="14">
        <v>42761</v>
      </c>
      <c r="G187" s="25">
        <f>YEAR(Employees_Tbl[[#This Row],[HIRE DATE]])</f>
        <v>2017</v>
      </c>
      <c r="H187" s="11" t="s">
        <v>111</v>
      </c>
      <c r="I187" s="11" t="s">
        <v>112</v>
      </c>
      <c r="J187" s="12">
        <v>70800</v>
      </c>
      <c r="K187" s="12">
        <v>2000</v>
      </c>
      <c r="L187" s="13">
        <v>0</v>
      </c>
      <c r="M187" s="13">
        <f>SUM(Employees_Tbl[[#This Row],[BASE SALARY]:[COMMISSION]])</f>
        <v>72800</v>
      </c>
      <c r="N187" s="11">
        <v>18</v>
      </c>
      <c r="O187" s="11">
        <v>7</v>
      </c>
      <c r="P187" s="11">
        <v>4</v>
      </c>
    </row>
    <row r="188" spans="1:16" x14ac:dyDescent="0.25">
      <c r="A188" s="11" t="s">
        <v>578</v>
      </c>
      <c r="B188" s="11" t="s">
        <v>579</v>
      </c>
      <c r="C188" s="11" t="s">
        <v>271</v>
      </c>
      <c r="D188" s="11" t="str">
        <f>Employees_Tbl[[#This Row],[LAST]] &amp;"." &amp; Employees_Tbl[[#This Row],[FIRST]]</f>
        <v>Smith.Cynthia</v>
      </c>
      <c r="E188" s="11" t="s">
        <v>41</v>
      </c>
      <c r="F188" s="14">
        <v>42973</v>
      </c>
      <c r="G188" s="25">
        <f>YEAR(Employees_Tbl[[#This Row],[HIRE DATE]])</f>
        <v>2017</v>
      </c>
      <c r="H188" s="11" t="s">
        <v>111</v>
      </c>
      <c r="I188" s="11" t="s">
        <v>112</v>
      </c>
      <c r="J188" s="12">
        <v>64400</v>
      </c>
      <c r="K188" s="12">
        <v>1500</v>
      </c>
      <c r="L188" s="13">
        <v>0</v>
      </c>
      <c r="M188" s="13">
        <f>SUM(Employees_Tbl[[#This Row],[BASE SALARY]:[COMMISSION]])</f>
        <v>65900</v>
      </c>
      <c r="N188" s="11">
        <v>12</v>
      </c>
      <c r="O188" s="11">
        <v>4</v>
      </c>
      <c r="P188" s="11">
        <v>4</v>
      </c>
    </row>
    <row r="189" spans="1:16" x14ac:dyDescent="0.25">
      <c r="A189" s="11" t="s">
        <v>1108</v>
      </c>
      <c r="B189" s="11" t="s">
        <v>1109</v>
      </c>
      <c r="C189" s="11" t="s">
        <v>1110</v>
      </c>
      <c r="D189" s="11" t="str">
        <f>Employees_Tbl[[#This Row],[LAST]] &amp;"." &amp; Employees_Tbl[[#This Row],[FIRST]]</f>
        <v>Glover.Angeline</v>
      </c>
      <c r="E189" s="11" t="s">
        <v>41</v>
      </c>
      <c r="F189" s="14">
        <v>43879</v>
      </c>
      <c r="G189" s="25">
        <f>YEAR(Employees_Tbl[[#This Row],[HIRE DATE]])</f>
        <v>2020</v>
      </c>
      <c r="H189" s="11" t="s">
        <v>111</v>
      </c>
      <c r="I189" s="11" t="s">
        <v>112</v>
      </c>
      <c r="J189" s="12">
        <v>63100</v>
      </c>
      <c r="K189" s="12">
        <v>2000</v>
      </c>
      <c r="L189" s="13">
        <v>0</v>
      </c>
      <c r="M189" s="13">
        <f>SUM(Employees_Tbl[[#This Row],[BASE SALARY]:[COMMISSION]])</f>
        <v>65100</v>
      </c>
      <c r="N189" s="11">
        <v>15</v>
      </c>
      <c r="O189" s="11">
        <v>6</v>
      </c>
      <c r="P189" s="11">
        <v>3</v>
      </c>
    </row>
    <row r="190" spans="1:16" x14ac:dyDescent="0.25">
      <c r="A190" s="11" t="s">
        <v>307</v>
      </c>
      <c r="B190" s="11" t="s">
        <v>137</v>
      </c>
      <c r="C190" s="11" t="s">
        <v>48</v>
      </c>
      <c r="D190" s="11" t="str">
        <f>Employees_Tbl[[#This Row],[LAST]] &amp;"." &amp; Employees_Tbl[[#This Row],[FIRST]]</f>
        <v>Robles.Timothy</v>
      </c>
      <c r="E190" s="11" t="s">
        <v>41</v>
      </c>
      <c r="F190" s="14">
        <v>42324</v>
      </c>
      <c r="G190" s="25">
        <f>YEAR(Employees_Tbl[[#This Row],[HIRE DATE]])</f>
        <v>2015</v>
      </c>
      <c r="H190" s="11" t="s">
        <v>111</v>
      </c>
      <c r="I190" s="11" t="s">
        <v>112</v>
      </c>
      <c r="J190" s="12">
        <v>59900</v>
      </c>
      <c r="K190" s="12">
        <v>1500</v>
      </c>
      <c r="L190" s="13">
        <v>0</v>
      </c>
      <c r="M190" s="13">
        <f>SUM(Employees_Tbl[[#This Row],[BASE SALARY]:[COMMISSION]])</f>
        <v>61400</v>
      </c>
      <c r="N190" s="11">
        <v>17</v>
      </c>
      <c r="O190" s="11">
        <v>8</v>
      </c>
      <c r="P190" s="11">
        <v>4</v>
      </c>
    </row>
    <row r="191" spans="1:16" x14ac:dyDescent="0.25">
      <c r="A191" s="11" t="s">
        <v>376</v>
      </c>
      <c r="B191" s="11" t="s">
        <v>377</v>
      </c>
      <c r="C191" s="11" t="s">
        <v>378</v>
      </c>
      <c r="D191" s="11" t="str">
        <f>Employees_Tbl[[#This Row],[LAST]] &amp;"." &amp; Employees_Tbl[[#This Row],[FIRST]]</f>
        <v>Humphrey.Frances</v>
      </c>
      <c r="E191" s="11" t="s">
        <v>41</v>
      </c>
      <c r="F191" s="14">
        <v>42389</v>
      </c>
      <c r="G191" s="25">
        <f>YEAR(Employees_Tbl[[#This Row],[HIRE DATE]])</f>
        <v>2016</v>
      </c>
      <c r="H191" s="11" t="s">
        <v>111</v>
      </c>
      <c r="I191" s="11" t="s">
        <v>112</v>
      </c>
      <c r="J191" s="12">
        <v>58200</v>
      </c>
      <c r="K191" s="12">
        <v>1500</v>
      </c>
      <c r="L191" s="13">
        <v>0</v>
      </c>
      <c r="M191" s="13">
        <f>SUM(Employees_Tbl[[#This Row],[BASE SALARY]:[COMMISSION]])</f>
        <v>59700</v>
      </c>
      <c r="N191" s="11">
        <v>11</v>
      </c>
      <c r="O191" s="11">
        <v>6</v>
      </c>
      <c r="P191" s="11">
        <v>5</v>
      </c>
    </row>
    <row r="192" spans="1:16" x14ac:dyDescent="0.25">
      <c r="A192" s="11" t="s">
        <v>688</v>
      </c>
      <c r="B192" s="11" t="s">
        <v>689</v>
      </c>
      <c r="C192" s="11" t="s">
        <v>690</v>
      </c>
      <c r="D192" s="11" t="str">
        <f>Employees_Tbl[[#This Row],[LAST]] &amp;"." &amp; Employees_Tbl[[#This Row],[FIRST]]</f>
        <v>Ratcliff.Judith</v>
      </c>
      <c r="E192" s="11" t="s">
        <v>41</v>
      </c>
      <c r="F192" s="14">
        <v>43198</v>
      </c>
      <c r="G192" s="25">
        <f>YEAR(Employees_Tbl[[#This Row],[HIRE DATE]])</f>
        <v>2018</v>
      </c>
      <c r="H192" s="11" t="s">
        <v>111</v>
      </c>
      <c r="I192" s="11" t="s">
        <v>112</v>
      </c>
      <c r="J192" s="12">
        <v>56200</v>
      </c>
      <c r="K192" s="12">
        <v>1500</v>
      </c>
      <c r="L192" s="13">
        <v>0</v>
      </c>
      <c r="M192" s="13">
        <f>SUM(Employees_Tbl[[#This Row],[BASE SALARY]:[COMMISSION]])</f>
        <v>57700</v>
      </c>
      <c r="N192" s="11">
        <v>12</v>
      </c>
      <c r="O192" s="11">
        <v>6</v>
      </c>
      <c r="P192" s="11">
        <v>4</v>
      </c>
    </row>
    <row r="193" spans="1:16" x14ac:dyDescent="0.25">
      <c r="A193" s="11" t="s">
        <v>1416</v>
      </c>
      <c r="B193" s="11" t="s">
        <v>1324</v>
      </c>
      <c r="C193" s="11" t="s">
        <v>1195</v>
      </c>
      <c r="D193" s="11" t="str">
        <f>Employees_Tbl[[#This Row],[LAST]] &amp;"." &amp; Employees_Tbl[[#This Row],[FIRST]]</f>
        <v>Munoz.Rachel</v>
      </c>
      <c r="E193" s="11" t="s">
        <v>41</v>
      </c>
      <c r="F193" s="14">
        <v>42809</v>
      </c>
      <c r="G193" s="25">
        <f>YEAR(Employees_Tbl[[#This Row],[HIRE DATE]])</f>
        <v>2017</v>
      </c>
      <c r="H193" s="11" t="s">
        <v>111</v>
      </c>
      <c r="I193" s="11" t="s">
        <v>112</v>
      </c>
      <c r="J193" s="12">
        <v>55200</v>
      </c>
      <c r="K193" s="12">
        <v>1500</v>
      </c>
      <c r="L193" s="13">
        <v>0</v>
      </c>
      <c r="M193" s="13">
        <f>SUM(Employees_Tbl[[#This Row],[BASE SALARY]:[COMMISSION]])</f>
        <v>56700</v>
      </c>
      <c r="N193" s="11">
        <v>10</v>
      </c>
      <c r="O193" s="11">
        <v>0</v>
      </c>
      <c r="P193" s="11">
        <v>3</v>
      </c>
    </row>
    <row r="194" spans="1:16" x14ac:dyDescent="0.25">
      <c r="A194" s="11" t="s">
        <v>127</v>
      </c>
      <c r="B194" s="11" t="s">
        <v>128</v>
      </c>
      <c r="C194" s="11" t="s">
        <v>129</v>
      </c>
      <c r="D194" s="11" t="str">
        <f>Employees_Tbl[[#This Row],[LAST]] &amp;"." &amp; Employees_Tbl[[#This Row],[FIRST]]</f>
        <v>Bruno.Louise</v>
      </c>
      <c r="E194" s="11" t="s">
        <v>41</v>
      </c>
      <c r="F194" s="14">
        <v>41431</v>
      </c>
      <c r="G194" s="25">
        <f>YEAR(Employees_Tbl[[#This Row],[HIRE DATE]])</f>
        <v>2013</v>
      </c>
      <c r="H194" s="11" t="s">
        <v>111</v>
      </c>
      <c r="I194" s="11" t="s">
        <v>112</v>
      </c>
      <c r="J194" s="12">
        <v>52600</v>
      </c>
      <c r="K194" s="12">
        <v>2000</v>
      </c>
      <c r="L194" s="13">
        <v>0</v>
      </c>
      <c r="M194" s="13">
        <f>SUM(Employees_Tbl[[#This Row],[BASE SALARY]:[COMMISSION]])</f>
        <v>54600</v>
      </c>
      <c r="N194" s="11">
        <v>13</v>
      </c>
      <c r="O194" s="11">
        <v>3</v>
      </c>
      <c r="P194" s="11">
        <v>3</v>
      </c>
    </row>
    <row r="195" spans="1:16" x14ac:dyDescent="0.25">
      <c r="A195" s="11" t="s">
        <v>576</v>
      </c>
      <c r="B195" s="11" t="s">
        <v>134</v>
      </c>
      <c r="C195" s="11" t="s">
        <v>577</v>
      </c>
      <c r="D195" s="11" t="str">
        <f>Employees_Tbl[[#This Row],[LAST]] &amp;"." &amp; Employees_Tbl[[#This Row],[FIRST]]</f>
        <v>Sauls.James</v>
      </c>
      <c r="E195" s="11" t="s">
        <v>41</v>
      </c>
      <c r="F195" s="14">
        <v>42824</v>
      </c>
      <c r="G195" s="25">
        <f>YEAR(Employees_Tbl[[#This Row],[HIRE DATE]])</f>
        <v>2017</v>
      </c>
      <c r="H195" s="11" t="s">
        <v>111</v>
      </c>
      <c r="I195" s="11" t="s">
        <v>112</v>
      </c>
      <c r="J195" s="12">
        <v>51000</v>
      </c>
      <c r="K195" s="12">
        <v>1500</v>
      </c>
      <c r="L195" s="13">
        <v>0</v>
      </c>
      <c r="M195" s="13">
        <f>SUM(Employees_Tbl[[#This Row],[BASE SALARY]:[COMMISSION]])</f>
        <v>52500</v>
      </c>
      <c r="N195" s="11">
        <v>14</v>
      </c>
      <c r="O195" s="11">
        <v>7</v>
      </c>
      <c r="P195" s="11">
        <v>4</v>
      </c>
    </row>
    <row r="196" spans="1:16" x14ac:dyDescent="0.25">
      <c r="A196" s="11" t="s">
        <v>203</v>
      </c>
      <c r="B196" s="11" t="s">
        <v>204</v>
      </c>
      <c r="C196" s="11" t="s">
        <v>205</v>
      </c>
      <c r="D196" s="11" t="str">
        <f>Employees_Tbl[[#This Row],[LAST]] &amp;"." &amp; Employees_Tbl[[#This Row],[FIRST]]</f>
        <v>Allen.Richard</v>
      </c>
      <c r="E196" s="11" t="s">
        <v>41</v>
      </c>
      <c r="F196" s="14">
        <v>42000</v>
      </c>
      <c r="G196" s="25">
        <f>YEAR(Employees_Tbl[[#This Row],[HIRE DATE]])</f>
        <v>2014</v>
      </c>
      <c r="H196" s="11" t="s">
        <v>111</v>
      </c>
      <c r="I196" s="11" t="s">
        <v>112</v>
      </c>
      <c r="J196" s="12">
        <v>49700</v>
      </c>
      <c r="K196" s="12">
        <v>1500</v>
      </c>
      <c r="L196" s="13">
        <v>0</v>
      </c>
      <c r="M196" s="13">
        <f>SUM(Employees_Tbl[[#This Row],[BASE SALARY]:[COMMISSION]])</f>
        <v>51200</v>
      </c>
      <c r="N196" s="11">
        <v>14</v>
      </c>
      <c r="O196" s="11">
        <v>7</v>
      </c>
      <c r="P196" s="11">
        <v>4</v>
      </c>
    </row>
    <row r="197" spans="1:16" x14ac:dyDescent="0.25">
      <c r="A197" s="11" t="s">
        <v>304</v>
      </c>
      <c r="B197" s="11" t="s">
        <v>305</v>
      </c>
      <c r="C197" s="11" t="s">
        <v>306</v>
      </c>
      <c r="D197" s="11" t="str">
        <f>Employees_Tbl[[#This Row],[LAST]] &amp;"." &amp; Employees_Tbl[[#This Row],[FIRST]]</f>
        <v>Sanabria.Dan</v>
      </c>
      <c r="E197" s="11" t="s">
        <v>41</v>
      </c>
      <c r="F197" s="14">
        <v>42149</v>
      </c>
      <c r="G197" s="25">
        <f>YEAR(Employees_Tbl[[#This Row],[HIRE DATE]])</f>
        <v>2015</v>
      </c>
      <c r="H197" s="11" t="s">
        <v>111</v>
      </c>
      <c r="I197" s="11" t="s">
        <v>112</v>
      </c>
      <c r="J197" s="12">
        <v>41300</v>
      </c>
      <c r="K197" s="12">
        <v>1000</v>
      </c>
      <c r="L197" s="13">
        <v>0</v>
      </c>
      <c r="M197" s="13">
        <f>SUM(Employees_Tbl[[#This Row],[BASE SALARY]:[COMMISSION]])</f>
        <v>42300</v>
      </c>
      <c r="N197" s="11">
        <v>15</v>
      </c>
      <c r="O197" s="11">
        <v>8</v>
      </c>
      <c r="P197" s="11">
        <v>3</v>
      </c>
    </row>
    <row r="198" spans="1:16" x14ac:dyDescent="0.25">
      <c r="A198" s="11" t="s">
        <v>1105</v>
      </c>
      <c r="B198" s="11" t="s">
        <v>1106</v>
      </c>
      <c r="C198" s="11" t="s">
        <v>1107</v>
      </c>
      <c r="D198" s="11" t="str">
        <f>Employees_Tbl[[#This Row],[LAST]] &amp;"." &amp; Employees_Tbl[[#This Row],[FIRST]]</f>
        <v>Prettyman.Erik</v>
      </c>
      <c r="E198" s="11" t="s">
        <v>41</v>
      </c>
      <c r="F198" s="14">
        <v>44119</v>
      </c>
      <c r="G198" s="25">
        <f>YEAR(Employees_Tbl[[#This Row],[HIRE DATE]])</f>
        <v>2020</v>
      </c>
      <c r="H198" s="11" t="s">
        <v>111</v>
      </c>
      <c r="I198" s="11" t="s">
        <v>112</v>
      </c>
      <c r="J198" s="12">
        <v>39900</v>
      </c>
      <c r="K198" s="12">
        <v>1500</v>
      </c>
      <c r="L198" s="13">
        <v>0</v>
      </c>
      <c r="M198" s="13">
        <f>SUM(Employees_Tbl[[#This Row],[BASE SALARY]:[COMMISSION]])</f>
        <v>41400</v>
      </c>
      <c r="N198" s="11">
        <v>12</v>
      </c>
      <c r="O198" s="11">
        <v>8</v>
      </c>
      <c r="P198" s="11">
        <v>4</v>
      </c>
    </row>
    <row r="199" spans="1:16" x14ac:dyDescent="0.25">
      <c r="A199" s="11" t="s">
        <v>374</v>
      </c>
      <c r="B199" s="11" t="s">
        <v>173</v>
      </c>
      <c r="C199" s="11" t="s">
        <v>375</v>
      </c>
      <c r="D199" s="11" t="str">
        <f>Employees_Tbl[[#This Row],[LAST]] &amp;"." &amp; Employees_Tbl[[#This Row],[FIRST]]</f>
        <v>Byrne.Susan</v>
      </c>
      <c r="E199" s="11" t="s">
        <v>41</v>
      </c>
      <c r="F199" s="14">
        <v>42558</v>
      </c>
      <c r="G199" s="25">
        <f>YEAR(Employees_Tbl[[#This Row],[HIRE DATE]])</f>
        <v>2016</v>
      </c>
      <c r="H199" s="11" t="s">
        <v>111</v>
      </c>
      <c r="I199" s="11" t="s">
        <v>112</v>
      </c>
      <c r="J199" s="12">
        <v>38800</v>
      </c>
      <c r="K199" s="12">
        <v>1000</v>
      </c>
      <c r="L199" s="13">
        <v>0</v>
      </c>
      <c r="M199" s="13">
        <f>SUM(Employees_Tbl[[#This Row],[BASE SALARY]:[COMMISSION]])</f>
        <v>39800</v>
      </c>
      <c r="N199" s="11">
        <v>15</v>
      </c>
      <c r="O199" s="11">
        <v>3</v>
      </c>
      <c r="P199" s="11">
        <v>3</v>
      </c>
    </row>
    <row r="200" spans="1:16" x14ac:dyDescent="0.25">
      <c r="A200" s="11" t="s">
        <v>573</v>
      </c>
      <c r="B200" s="11" t="s">
        <v>574</v>
      </c>
      <c r="C200" s="11" t="s">
        <v>575</v>
      </c>
      <c r="D200" s="11" t="str">
        <f>Employees_Tbl[[#This Row],[LAST]] &amp;"." &amp; Employees_Tbl[[#This Row],[FIRST]]</f>
        <v>Kaufman.Barry</v>
      </c>
      <c r="E200" s="11" t="s">
        <v>41</v>
      </c>
      <c r="F200" s="14">
        <v>43010</v>
      </c>
      <c r="G200" s="25">
        <f>YEAR(Employees_Tbl[[#This Row],[HIRE DATE]])</f>
        <v>2017</v>
      </c>
      <c r="H200" s="11" t="s">
        <v>111</v>
      </c>
      <c r="I200" s="11" t="s">
        <v>112</v>
      </c>
      <c r="J200" s="12">
        <v>36500</v>
      </c>
      <c r="K200" s="12">
        <v>1000</v>
      </c>
      <c r="L200" s="13">
        <v>0</v>
      </c>
      <c r="M200" s="13">
        <f>SUM(Employees_Tbl[[#This Row],[BASE SALARY]:[COMMISSION]])</f>
        <v>37500</v>
      </c>
      <c r="N200" s="11">
        <v>15</v>
      </c>
      <c r="O200" s="11">
        <v>8</v>
      </c>
      <c r="P200" s="11">
        <v>5</v>
      </c>
    </row>
    <row r="201" spans="1:16" x14ac:dyDescent="0.25">
      <c r="A201" s="11" t="s">
        <v>124</v>
      </c>
      <c r="B201" s="11" t="s">
        <v>125</v>
      </c>
      <c r="C201" s="11" t="s">
        <v>126</v>
      </c>
      <c r="D201" s="11" t="str">
        <f>Employees_Tbl[[#This Row],[LAST]] &amp;"." &amp; Employees_Tbl[[#This Row],[FIRST]]</f>
        <v>Danek.Phyllis</v>
      </c>
      <c r="E201" s="11" t="s">
        <v>41</v>
      </c>
      <c r="F201" s="14">
        <v>41309</v>
      </c>
      <c r="G201" s="25">
        <f>YEAR(Employees_Tbl[[#This Row],[HIRE DATE]])</f>
        <v>2013</v>
      </c>
      <c r="H201" s="11" t="s">
        <v>111</v>
      </c>
      <c r="I201" s="11" t="s">
        <v>112</v>
      </c>
      <c r="J201" s="12">
        <v>32600</v>
      </c>
      <c r="K201" s="12">
        <v>1000</v>
      </c>
      <c r="L201" s="13">
        <v>0</v>
      </c>
      <c r="M201" s="13">
        <f>SUM(Employees_Tbl[[#This Row],[BASE SALARY]:[COMMISSION]])</f>
        <v>33600</v>
      </c>
      <c r="N201" s="11">
        <v>15</v>
      </c>
      <c r="O201" s="11">
        <v>8</v>
      </c>
      <c r="P201" s="11">
        <v>4</v>
      </c>
    </row>
    <row r="202" spans="1:16" x14ac:dyDescent="0.25">
      <c r="A202" s="11" t="s">
        <v>686</v>
      </c>
      <c r="B202" s="11" t="s">
        <v>100</v>
      </c>
      <c r="C202" s="11" t="s">
        <v>191</v>
      </c>
      <c r="D202" s="11" t="str">
        <f>Employees_Tbl[[#This Row],[LAST]] &amp;"." &amp; Employees_Tbl[[#This Row],[FIRST]]</f>
        <v>Dozier.Amy</v>
      </c>
      <c r="E202" s="11" t="s">
        <v>41</v>
      </c>
      <c r="F202" s="14">
        <v>43198</v>
      </c>
      <c r="G202" s="25">
        <f>YEAR(Employees_Tbl[[#This Row],[HIRE DATE]])</f>
        <v>2018</v>
      </c>
      <c r="H202" s="11" t="s">
        <v>111</v>
      </c>
      <c r="I202" s="11" t="s">
        <v>112</v>
      </c>
      <c r="J202" s="12">
        <v>29700</v>
      </c>
      <c r="K202" s="12">
        <v>500</v>
      </c>
      <c r="L202" s="13">
        <v>0</v>
      </c>
      <c r="M202" s="13">
        <f>SUM(Employees_Tbl[[#This Row],[BASE SALARY]:[COMMISSION]])</f>
        <v>30200</v>
      </c>
      <c r="N202" s="11">
        <v>13</v>
      </c>
      <c r="O202" s="11">
        <v>3</v>
      </c>
      <c r="P202" s="11">
        <v>1</v>
      </c>
    </row>
    <row r="203" spans="1:16" x14ac:dyDescent="0.25">
      <c r="A203" s="11" t="s">
        <v>1102</v>
      </c>
      <c r="B203" s="11" t="s">
        <v>1103</v>
      </c>
      <c r="C203" s="11" t="s">
        <v>1104</v>
      </c>
      <c r="D203" s="11" t="str">
        <f>Employees_Tbl[[#This Row],[LAST]] &amp;"." &amp; Employees_Tbl[[#This Row],[FIRST]]</f>
        <v>Curley.Sandra</v>
      </c>
      <c r="E203" s="11" t="s">
        <v>41</v>
      </c>
      <c r="F203" s="14">
        <v>44160</v>
      </c>
      <c r="G203" s="25">
        <f>YEAR(Employees_Tbl[[#This Row],[HIRE DATE]])</f>
        <v>2020</v>
      </c>
      <c r="H203" s="11" t="s">
        <v>111</v>
      </c>
      <c r="I203" s="11" t="s">
        <v>112</v>
      </c>
      <c r="J203" s="12">
        <v>27400</v>
      </c>
      <c r="K203" s="12">
        <v>1000</v>
      </c>
      <c r="L203" s="13">
        <v>0</v>
      </c>
      <c r="M203" s="13">
        <f>SUM(Employees_Tbl[[#This Row],[BASE SALARY]:[COMMISSION]])</f>
        <v>28400</v>
      </c>
      <c r="N203" s="11">
        <v>17</v>
      </c>
      <c r="O203" s="11">
        <v>8</v>
      </c>
      <c r="P203" s="11">
        <v>5</v>
      </c>
    </row>
    <row r="204" spans="1:16" x14ac:dyDescent="0.25">
      <c r="A204" s="11" t="s">
        <v>1114</v>
      </c>
      <c r="B204" s="11" t="s">
        <v>419</v>
      </c>
      <c r="C204" s="11" t="s">
        <v>1115</v>
      </c>
      <c r="D204" s="11" t="str">
        <f>Employees_Tbl[[#This Row],[LAST]] &amp;"." &amp; Employees_Tbl[[#This Row],[FIRST]]</f>
        <v>Singletary.Gertrude</v>
      </c>
      <c r="E204" s="11" t="s">
        <v>45</v>
      </c>
      <c r="F204" s="14">
        <v>43912</v>
      </c>
      <c r="G204" s="25">
        <f>YEAR(Employees_Tbl[[#This Row],[HIRE DATE]])</f>
        <v>2020</v>
      </c>
      <c r="H204" s="11" t="s">
        <v>111</v>
      </c>
      <c r="I204" s="11" t="s">
        <v>112</v>
      </c>
      <c r="J204" s="12">
        <v>93300</v>
      </c>
      <c r="K204" s="12">
        <v>1500</v>
      </c>
      <c r="L204" s="13">
        <v>0</v>
      </c>
      <c r="M204" s="13">
        <f>SUM(Employees_Tbl[[#This Row],[BASE SALARY]:[COMMISSION]])</f>
        <v>94800</v>
      </c>
      <c r="N204" s="11">
        <v>14</v>
      </c>
      <c r="O204" s="11">
        <v>7</v>
      </c>
      <c r="P204" s="11">
        <v>5</v>
      </c>
    </row>
    <row r="205" spans="1:16" x14ac:dyDescent="0.25">
      <c r="A205" s="11" t="s">
        <v>1111</v>
      </c>
      <c r="B205" s="11" t="s">
        <v>1112</v>
      </c>
      <c r="C205" s="11" t="s">
        <v>1113</v>
      </c>
      <c r="D205" s="11" t="str">
        <f>Employees_Tbl[[#This Row],[LAST]] &amp;"." &amp; Employees_Tbl[[#This Row],[FIRST]]</f>
        <v>Boone.Beverly</v>
      </c>
      <c r="E205" s="11" t="s">
        <v>45</v>
      </c>
      <c r="F205" s="14">
        <v>44014</v>
      </c>
      <c r="G205" s="25">
        <f>YEAR(Employees_Tbl[[#This Row],[HIRE DATE]])</f>
        <v>2020</v>
      </c>
      <c r="H205" s="11" t="s">
        <v>111</v>
      </c>
      <c r="I205" s="11" t="s">
        <v>112</v>
      </c>
      <c r="J205" s="12">
        <v>91000</v>
      </c>
      <c r="K205" s="12">
        <v>3000</v>
      </c>
      <c r="L205" s="13">
        <v>0</v>
      </c>
      <c r="M205" s="13">
        <f>SUM(Employees_Tbl[[#This Row],[BASE SALARY]:[COMMISSION]])</f>
        <v>94000</v>
      </c>
      <c r="N205" s="11">
        <v>11</v>
      </c>
      <c r="O205" s="11">
        <v>3</v>
      </c>
      <c r="P205" s="11">
        <v>4</v>
      </c>
    </row>
    <row r="206" spans="1:16" x14ac:dyDescent="0.25">
      <c r="A206" s="11" t="s">
        <v>211</v>
      </c>
      <c r="B206" s="11" t="s">
        <v>212</v>
      </c>
      <c r="C206" s="11" t="s">
        <v>213</v>
      </c>
      <c r="D206" s="11" t="str">
        <f>Employees_Tbl[[#This Row],[LAST]] &amp;"." &amp; Employees_Tbl[[#This Row],[FIRST]]</f>
        <v>Joyce.Ernestina</v>
      </c>
      <c r="E206" s="11" t="s">
        <v>45</v>
      </c>
      <c r="F206" s="14">
        <v>41720</v>
      </c>
      <c r="G206" s="25">
        <f>YEAR(Employees_Tbl[[#This Row],[HIRE DATE]])</f>
        <v>2014</v>
      </c>
      <c r="H206" s="11" t="s">
        <v>111</v>
      </c>
      <c r="I206" s="11" t="s">
        <v>112</v>
      </c>
      <c r="J206" s="12">
        <v>79500</v>
      </c>
      <c r="K206" s="12">
        <v>2000</v>
      </c>
      <c r="L206" s="13">
        <v>0</v>
      </c>
      <c r="M206" s="13">
        <f>SUM(Employees_Tbl[[#This Row],[BASE SALARY]:[COMMISSION]])</f>
        <v>81500</v>
      </c>
      <c r="N206" s="11">
        <v>13</v>
      </c>
      <c r="O206" s="11">
        <v>8</v>
      </c>
      <c r="P206" s="11">
        <v>2</v>
      </c>
    </row>
    <row r="207" spans="1:16" x14ac:dyDescent="0.25">
      <c r="A207" s="11" t="s">
        <v>587</v>
      </c>
      <c r="B207" s="11" t="s">
        <v>588</v>
      </c>
      <c r="C207" s="11" t="s">
        <v>589</v>
      </c>
      <c r="D207" s="11" t="str">
        <f>Employees_Tbl[[#This Row],[LAST]] &amp;"." &amp; Employees_Tbl[[#This Row],[FIRST]]</f>
        <v>Moreno.Catherine</v>
      </c>
      <c r="E207" s="11" t="s">
        <v>45</v>
      </c>
      <c r="F207" s="14">
        <v>42834</v>
      </c>
      <c r="G207" s="25">
        <f>YEAR(Employees_Tbl[[#This Row],[HIRE DATE]])</f>
        <v>2017</v>
      </c>
      <c r="H207" s="11" t="s">
        <v>111</v>
      </c>
      <c r="I207" s="11" t="s">
        <v>112</v>
      </c>
      <c r="J207" s="12">
        <v>78900</v>
      </c>
      <c r="K207" s="12">
        <v>3000</v>
      </c>
      <c r="L207" s="13">
        <v>0</v>
      </c>
      <c r="M207" s="13">
        <f>SUM(Employees_Tbl[[#This Row],[BASE SALARY]:[COMMISSION]])</f>
        <v>81900</v>
      </c>
      <c r="N207" s="11">
        <v>11</v>
      </c>
      <c r="O207" s="11">
        <v>4</v>
      </c>
      <c r="P207" s="11">
        <v>4</v>
      </c>
    </row>
    <row r="208" spans="1:16" x14ac:dyDescent="0.25">
      <c r="A208" s="11" t="s">
        <v>133</v>
      </c>
      <c r="B208" s="11" t="s">
        <v>134</v>
      </c>
      <c r="C208" s="11" t="s">
        <v>135</v>
      </c>
      <c r="D208" s="11" t="str">
        <f>Employees_Tbl[[#This Row],[LAST]] &amp;"." &amp; Employees_Tbl[[#This Row],[FIRST]]</f>
        <v>Watkins.James</v>
      </c>
      <c r="E208" s="11" t="s">
        <v>45</v>
      </c>
      <c r="F208" s="14">
        <v>41390</v>
      </c>
      <c r="G208" s="25">
        <f>YEAR(Employees_Tbl[[#This Row],[HIRE DATE]])</f>
        <v>2013</v>
      </c>
      <c r="H208" s="11" t="s">
        <v>111</v>
      </c>
      <c r="I208" s="11" t="s">
        <v>112</v>
      </c>
      <c r="J208" s="12">
        <v>76600</v>
      </c>
      <c r="K208" s="12">
        <v>2500</v>
      </c>
      <c r="L208" s="13">
        <v>0</v>
      </c>
      <c r="M208" s="13">
        <f>SUM(Employees_Tbl[[#This Row],[BASE SALARY]:[COMMISSION]])</f>
        <v>79100</v>
      </c>
      <c r="N208" s="11">
        <v>12</v>
      </c>
      <c r="O208" s="11">
        <v>4</v>
      </c>
      <c r="P208" s="11">
        <v>5</v>
      </c>
    </row>
    <row r="209" spans="1:16" x14ac:dyDescent="0.25">
      <c r="A209" s="11" t="s">
        <v>584</v>
      </c>
      <c r="B209" s="11" t="s">
        <v>585</v>
      </c>
      <c r="C209" s="11" t="s">
        <v>586</v>
      </c>
      <c r="D209" s="11" t="str">
        <f>Employees_Tbl[[#This Row],[LAST]] &amp;"." &amp; Employees_Tbl[[#This Row],[FIRST]]</f>
        <v>Vela.Gregory</v>
      </c>
      <c r="E209" s="11" t="s">
        <v>45</v>
      </c>
      <c r="F209" s="14">
        <v>42771</v>
      </c>
      <c r="G209" s="25">
        <f>YEAR(Employees_Tbl[[#This Row],[HIRE DATE]])</f>
        <v>2017</v>
      </c>
      <c r="H209" s="11" t="s">
        <v>111</v>
      </c>
      <c r="I209" s="11" t="s">
        <v>112</v>
      </c>
      <c r="J209" s="12">
        <v>71300</v>
      </c>
      <c r="K209" s="12">
        <v>2000</v>
      </c>
      <c r="L209" s="13">
        <v>0</v>
      </c>
      <c r="M209" s="13">
        <f>SUM(Employees_Tbl[[#This Row],[BASE SALARY]:[COMMISSION]])</f>
        <v>73300</v>
      </c>
      <c r="N209" s="11">
        <v>13</v>
      </c>
      <c r="O209" s="11">
        <v>6</v>
      </c>
      <c r="P209" s="11">
        <v>4</v>
      </c>
    </row>
    <row r="210" spans="1:16" x14ac:dyDescent="0.25">
      <c r="A210" s="11" t="s">
        <v>318</v>
      </c>
      <c r="B210" s="11" t="s">
        <v>47</v>
      </c>
      <c r="C210" s="11" t="s">
        <v>319</v>
      </c>
      <c r="D210" s="11" t="str">
        <f>Employees_Tbl[[#This Row],[LAST]] &amp;"." &amp; Employees_Tbl[[#This Row],[FIRST]]</f>
        <v>Farmer.Elizabeth</v>
      </c>
      <c r="E210" s="11" t="s">
        <v>45</v>
      </c>
      <c r="F210" s="14">
        <v>42093</v>
      </c>
      <c r="G210" s="25">
        <f>YEAR(Employees_Tbl[[#This Row],[HIRE DATE]])</f>
        <v>2015</v>
      </c>
      <c r="H210" s="11" t="s">
        <v>111</v>
      </c>
      <c r="I210" s="11" t="s">
        <v>112</v>
      </c>
      <c r="J210" s="12">
        <v>68800</v>
      </c>
      <c r="K210" s="12">
        <v>2500</v>
      </c>
      <c r="L210" s="13">
        <v>0</v>
      </c>
      <c r="M210" s="13">
        <f>SUM(Employees_Tbl[[#This Row],[BASE SALARY]:[COMMISSION]])</f>
        <v>71300</v>
      </c>
      <c r="N210" s="11">
        <v>16</v>
      </c>
      <c r="O210" s="11">
        <v>10</v>
      </c>
      <c r="P210" s="11">
        <v>5</v>
      </c>
    </row>
    <row r="211" spans="1:16" x14ac:dyDescent="0.25">
      <c r="A211" s="11" t="s">
        <v>208</v>
      </c>
      <c r="B211" s="11" t="s">
        <v>209</v>
      </c>
      <c r="C211" s="11" t="s">
        <v>210</v>
      </c>
      <c r="D211" s="11" t="str">
        <f>Employees_Tbl[[#This Row],[LAST]] &amp;"." &amp; Employees_Tbl[[#This Row],[FIRST]]</f>
        <v>Goldberg.Kathleen</v>
      </c>
      <c r="E211" s="11" t="s">
        <v>45</v>
      </c>
      <c r="F211" s="14">
        <v>42000</v>
      </c>
      <c r="G211" s="25">
        <f>YEAR(Employees_Tbl[[#This Row],[HIRE DATE]])</f>
        <v>2014</v>
      </c>
      <c r="H211" s="11" t="s">
        <v>111</v>
      </c>
      <c r="I211" s="11" t="s">
        <v>112</v>
      </c>
      <c r="J211" s="12">
        <v>68400</v>
      </c>
      <c r="K211" s="12">
        <v>2000</v>
      </c>
      <c r="L211" s="13">
        <v>0</v>
      </c>
      <c r="M211" s="13">
        <f>SUM(Employees_Tbl[[#This Row],[BASE SALARY]:[COMMISSION]])</f>
        <v>70400</v>
      </c>
      <c r="N211" s="11">
        <v>17</v>
      </c>
      <c r="O211" s="11">
        <v>6</v>
      </c>
      <c r="P211" s="11">
        <v>5</v>
      </c>
    </row>
    <row r="212" spans="1:16" x14ac:dyDescent="0.25">
      <c r="A212" s="11" t="s">
        <v>695</v>
      </c>
      <c r="B212" s="11" t="s">
        <v>696</v>
      </c>
      <c r="C212" s="11" t="s">
        <v>697</v>
      </c>
      <c r="D212" s="11" t="str">
        <f>Employees_Tbl[[#This Row],[LAST]] &amp;"." &amp; Employees_Tbl[[#This Row],[FIRST]]</f>
        <v>Morrison.Bob</v>
      </c>
      <c r="E212" s="11" t="s">
        <v>45</v>
      </c>
      <c r="F212" s="14">
        <v>43284</v>
      </c>
      <c r="G212" s="25">
        <f>YEAR(Employees_Tbl[[#This Row],[HIRE DATE]])</f>
        <v>2018</v>
      </c>
      <c r="H212" s="11" t="s">
        <v>111</v>
      </c>
      <c r="I212" s="11" t="s">
        <v>112</v>
      </c>
      <c r="J212" s="12">
        <v>64200</v>
      </c>
      <c r="K212" s="12">
        <v>2000</v>
      </c>
      <c r="L212" s="13">
        <v>0</v>
      </c>
      <c r="M212" s="13">
        <f>SUM(Employees_Tbl[[#This Row],[BASE SALARY]:[COMMISSION]])</f>
        <v>66200</v>
      </c>
      <c r="N212" s="11">
        <v>15</v>
      </c>
      <c r="O212" s="11">
        <v>4</v>
      </c>
      <c r="P212" s="11">
        <v>5</v>
      </c>
    </row>
    <row r="213" spans="1:16" x14ac:dyDescent="0.25">
      <c r="A213" s="11" t="s">
        <v>130</v>
      </c>
      <c r="B213" s="11" t="s">
        <v>131</v>
      </c>
      <c r="C213" s="11" t="s">
        <v>132</v>
      </c>
      <c r="D213" s="11" t="str">
        <f>Employees_Tbl[[#This Row],[LAST]] &amp;"." &amp; Employees_Tbl[[#This Row],[FIRST]]</f>
        <v>Strouth.Kenneth</v>
      </c>
      <c r="E213" s="11" t="s">
        <v>45</v>
      </c>
      <c r="F213" s="14">
        <v>41341</v>
      </c>
      <c r="G213" s="25">
        <f>YEAR(Employees_Tbl[[#This Row],[HIRE DATE]])</f>
        <v>2013</v>
      </c>
      <c r="H213" s="11" t="s">
        <v>111</v>
      </c>
      <c r="I213" s="11" t="s">
        <v>112</v>
      </c>
      <c r="J213" s="12">
        <v>61300</v>
      </c>
      <c r="K213" s="12">
        <v>1500</v>
      </c>
      <c r="L213" s="13">
        <v>0</v>
      </c>
      <c r="M213" s="13">
        <f>SUM(Employees_Tbl[[#This Row],[BASE SALARY]:[COMMISSION]])</f>
        <v>62800</v>
      </c>
      <c r="N213" s="11">
        <v>16</v>
      </c>
      <c r="O213" s="11">
        <v>10</v>
      </c>
      <c r="P213" s="11">
        <v>5</v>
      </c>
    </row>
    <row r="214" spans="1:16" x14ac:dyDescent="0.25">
      <c r="A214" s="11" t="s">
        <v>901</v>
      </c>
      <c r="B214" s="11" t="s">
        <v>902</v>
      </c>
      <c r="C214" s="11" t="s">
        <v>903</v>
      </c>
      <c r="D214" s="11" t="str">
        <f>Employees_Tbl[[#This Row],[LAST]] &amp;"." &amp; Employees_Tbl[[#This Row],[FIRST]]</f>
        <v>Ragsdale.Alex</v>
      </c>
      <c r="E214" s="11" t="s">
        <v>45</v>
      </c>
      <c r="F214" s="14">
        <v>43581</v>
      </c>
      <c r="G214" s="25">
        <f>YEAR(Employees_Tbl[[#This Row],[HIRE DATE]])</f>
        <v>2019</v>
      </c>
      <c r="H214" s="11" t="s">
        <v>111</v>
      </c>
      <c r="I214" s="11" t="s">
        <v>112</v>
      </c>
      <c r="J214" s="12">
        <v>59900</v>
      </c>
      <c r="K214" s="12">
        <v>1500</v>
      </c>
      <c r="L214" s="13">
        <v>0</v>
      </c>
      <c r="M214" s="13">
        <f>SUM(Employees_Tbl[[#This Row],[BASE SALARY]:[COMMISSION]])</f>
        <v>61400</v>
      </c>
      <c r="N214" s="11">
        <v>17</v>
      </c>
      <c r="O214" s="11">
        <v>5</v>
      </c>
      <c r="P214" s="11">
        <v>4</v>
      </c>
    </row>
    <row r="215" spans="1:16" x14ac:dyDescent="0.25">
      <c r="A215" s="11" t="s">
        <v>898</v>
      </c>
      <c r="B215" s="11" t="s">
        <v>899</v>
      </c>
      <c r="C215" s="11" t="s">
        <v>900</v>
      </c>
      <c r="D215" s="11" t="str">
        <f>Employees_Tbl[[#This Row],[LAST]] &amp;"." &amp; Employees_Tbl[[#This Row],[FIRST]]</f>
        <v>Rolph.Kerry</v>
      </c>
      <c r="E215" s="11" t="s">
        <v>45</v>
      </c>
      <c r="F215" s="14">
        <v>43827</v>
      </c>
      <c r="G215" s="25">
        <f>YEAR(Employees_Tbl[[#This Row],[HIRE DATE]])</f>
        <v>2019</v>
      </c>
      <c r="H215" s="11" t="s">
        <v>111</v>
      </c>
      <c r="I215" s="11" t="s">
        <v>112</v>
      </c>
      <c r="J215" s="12">
        <v>58400</v>
      </c>
      <c r="K215" s="12">
        <v>1500</v>
      </c>
      <c r="L215" s="13">
        <v>0</v>
      </c>
      <c r="M215" s="13">
        <f>SUM(Employees_Tbl[[#This Row],[BASE SALARY]:[COMMISSION]])</f>
        <v>59900</v>
      </c>
      <c r="N215" s="11">
        <v>12</v>
      </c>
      <c r="O215" s="11">
        <v>8</v>
      </c>
      <c r="P215" s="11">
        <v>5</v>
      </c>
    </row>
    <row r="216" spans="1:16" x14ac:dyDescent="0.25">
      <c r="A216" s="11" t="s">
        <v>315</v>
      </c>
      <c r="B216" s="11" t="s">
        <v>316</v>
      </c>
      <c r="C216" s="11" t="s">
        <v>317</v>
      </c>
      <c r="D216" s="11" t="str">
        <f>Employees_Tbl[[#This Row],[LAST]] &amp;"." &amp; Employees_Tbl[[#This Row],[FIRST]]</f>
        <v>Story.Anita</v>
      </c>
      <c r="E216" s="11" t="s">
        <v>45</v>
      </c>
      <c r="F216" s="14">
        <v>42176</v>
      </c>
      <c r="G216" s="25">
        <f>YEAR(Employees_Tbl[[#This Row],[HIRE DATE]])</f>
        <v>2015</v>
      </c>
      <c r="H216" s="11" t="s">
        <v>111</v>
      </c>
      <c r="I216" s="11" t="s">
        <v>112</v>
      </c>
      <c r="J216" s="12">
        <v>56700</v>
      </c>
      <c r="K216" s="12">
        <v>1500</v>
      </c>
      <c r="L216" s="13">
        <v>0</v>
      </c>
      <c r="M216" s="13">
        <f>SUM(Employees_Tbl[[#This Row],[BASE SALARY]:[COMMISSION]])</f>
        <v>58200</v>
      </c>
      <c r="N216" s="11">
        <v>18</v>
      </c>
      <c r="O216" s="11">
        <v>3</v>
      </c>
      <c r="P216" s="11">
        <v>4</v>
      </c>
    </row>
    <row r="217" spans="1:16" x14ac:dyDescent="0.25">
      <c r="A217" s="11" t="s">
        <v>692</v>
      </c>
      <c r="B217" s="11" t="s">
        <v>693</v>
      </c>
      <c r="C217" s="11" t="s">
        <v>694</v>
      </c>
      <c r="D217" s="11" t="str">
        <f>Employees_Tbl[[#This Row],[LAST]] &amp;"." &amp; Employees_Tbl[[#This Row],[FIRST]]</f>
        <v>Beal.Jeanne</v>
      </c>
      <c r="E217" s="11" t="s">
        <v>45</v>
      </c>
      <c r="F217" s="14">
        <v>43356</v>
      </c>
      <c r="G217" s="25">
        <f>YEAR(Employees_Tbl[[#This Row],[HIRE DATE]])</f>
        <v>2018</v>
      </c>
      <c r="H217" s="11" t="s">
        <v>111</v>
      </c>
      <c r="I217" s="11" t="s">
        <v>112</v>
      </c>
      <c r="J217" s="12">
        <v>53000</v>
      </c>
      <c r="K217" s="12">
        <v>2000</v>
      </c>
      <c r="L217" s="13">
        <v>0</v>
      </c>
      <c r="M217" s="13">
        <f>SUM(Employees_Tbl[[#This Row],[BASE SALARY]:[COMMISSION]])</f>
        <v>55000</v>
      </c>
      <c r="N217" s="11">
        <v>18</v>
      </c>
      <c r="O217" s="11">
        <v>4</v>
      </c>
      <c r="P217" s="11">
        <v>3</v>
      </c>
    </row>
    <row r="218" spans="1:16" x14ac:dyDescent="0.25">
      <c r="A218" s="11" t="s">
        <v>896</v>
      </c>
      <c r="B218" s="11" t="s">
        <v>277</v>
      </c>
      <c r="C218" s="11" t="s">
        <v>897</v>
      </c>
      <c r="D218" s="11" t="str">
        <f>Employees_Tbl[[#This Row],[LAST]] &amp;"." &amp; Employees_Tbl[[#This Row],[FIRST]]</f>
        <v>Greene.Ruth</v>
      </c>
      <c r="E218" s="11" t="s">
        <v>45</v>
      </c>
      <c r="F218" s="14">
        <v>43556</v>
      </c>
      <c r="G218" s="25">
        <f>YEAR(Employees_Tbl[[#This Row],[HIRE DATE]])</f>
        <v>2019</v>
      </c>
      <c r="H218" s="11" t="s">
        <v>111</v>
      </c>
      <c r="I218" s="11" t="s">
        <v>112</v>
      </c>
      <c r="J218" s="12">
        <v>48900</v>
      </c>
      <c r="K218" s="12">
        <v>1500</v>
      </c>
      <c r="L218" s="13">
        <v>0</v>
      </c>
      <c r="M218" s="13">
        <f>SUM(Employees_Tbl[[#This Row],[BASE SALARY]:[COMMISSION]])</f>
        <v>50400</v>
      </c>
      <c r="N218" s="11">
        <v>18</v>
      </c>
      <c r="O218" s="11">
        <v>6</v>
      </c>
      <c r="P218" s="11">
        <v>5</v>
      </c>
    </row>
    <row r="219" spans="1:16" x14ac:dyDescent="0.25">
      <c r="A219" s="11" t="s">
        <v>895</v>
      </c>
      <c r="B219" s="11" t="s">
        <v>1349</v>
      </c>
      <c r="C219" s="11" t="s">
        <v>1350</v>
      </c>
      <c r="D219" s="11" t="str">
        <f>Employees_Tbl[[#This Row],[LAST]] &amp;"." &amp; Employees_Tbl[[#This Row],[FIRST]]</f>
        <v>Kreger.Della</v>
      </c>
      <c r="E219" s="11" t="s">
        <v>45</v>
      </c>
      <c r="F219" s="14">
        <v>43560</v>
      </c>
      <c r="G219" s="25">
        <f>YEAR(Employees_Tbl[[#This Row],[HIRE DATE]])</f>
        <v>2019</v>
      </c>
      <c r="H219" s="11" t="s">
        <v>111</v>
      </c>
      <c r="I219" s="11" t="s">
        <v>112</v>
      </c>
      <c r="J219" s="13">
        <v>45700</v>
      </c>
      <c r="K219" s="12">
        <v>1500</v>
      </c>
      <c r="L219" s="13">
        <v>0</v>
      </c>
      <c r="M219" s="13">
        <f>SUM(Employees_Tbl[[#This Row],[BASE SALARY]:[COMMISSION]])</f>
        <v>47200</v>
      </c>
      <c r="N219" s="11">
        <v>17</v>
      </c>
      <c r="O219" s="11">
        <v>11</v>
      </c>
      <c r="P219" s="11">
        <v>3</v>
      </c>
    </row>
    <row r="220" spans="1:16" x14ac:dyDescent="0.25">
      <c r="A220" s="11" t="s">
        <v>311</v>
      </c>
      <c r="B220" s="11" t="s">
        <v>312</v>
      </c>
      <c r="C220" s="11" t="s">
        <v>313</v>
      </c>
      <c r="D220" s="11" t="str">
        <f>Employees_Tbl[[#This Row],[LAST]] &amp;"." &amp; Employees_Tbl[[#This Row],[FIRST]]</f>
        <v>Miller.Gina</v>
      </c>
      <c r="E220" s="11" t="s">
        <v>45</v>
      </c>
      <c r="F220" s="14">
        <v>42338</v>
      </c>
      <c r="G220" s="25">
        <f>YEAR(Employees_Tbl[[#This Row],[HIRE DATE]])</f>
        <v>2015</v>
      </c>
      <c r="H220" s="11" t="s">
        <v>111</v>
      </c>
      <c r="I220" s="11" t="s">
        <v>112</v>
      </c>
      <c r="J220" s="12">
        <v>44800</v>
      </c>
      <c r="K220" s="12">
        <v>1500</v>
      </c>
      <c r="L220" s="13">
        <v>0</v>
      </c>
      <c r="M220" s="13">
        <f>SUM(Employees_Tbl[[#This Row],[BASE SALARY]:[COMMISSION]])</f>
        <v>46300</v>
      </c>
      <c r="N220" s="11">
        <v>12</v>
      </c>
      <c r="O220" s="11">
        <v>4</v>
      </c>
      <c r="P220" s="11">
        <v>3</v>
      </c>
    </row>
    <row r="221" spans="1:16" x14ac:dyDescent="0.25">
      <c r="A221" s="11" t="s">
        <v>314</v>
      </c>
      <c r="B221" s="11" t="s">
        <v>602</v>
      </c>
      <c r="C221" s="11" t="s">
        <v>1331</v>
      </c>
      <c r="D221" s="11" t="str">
        <f>Employees_Tbl[[#This Row],[LAST]] &amp;"." &amp; Employees_Tbl[[#This Row],[FIRST]]</f>
        <v>Alberts.Alexander</v>
      </c>
      <c r="E221" s="11" t="s">
        <v>45</v>
      </c>
      <c r="F221" s="14">
        <v>42319</v>
      </c>
      <c r="G221" s="25">
        <f>YEAR(Employees_Tbl[[#This Row],[HIRE DATE]])</f>
        <v>2015</v>
      </c>
      <c r="H221" s="11" t="s">
        <v>111</v>
      </c>
      <c r="I221" s="11" t="s">
        <v>112</v>
      </c>
      <c r="J221" s="13">
        <v>44800</v>
      </c>
      <c r="K221" s="12">
        <v>1000</v>
      </c>
      <c r="L221" s="13">
        <v>0</v>
      </c>
      <c r="M221" s="13">
        <f>SUM(Employees_Tbl[[#This Row],[BASE SALARY]:[COMMISSION]])</f>
        <v>45800</v>
      </c>
      <c r="N221" s="11">
        <v>18</v>
      </c>
      <c r="O221" s="11">
        <v>8</v>
      </c>
      <c r="P221" s="11">
        <v>5</v>
      </c>
    </row>
    <row r="222" spans="1:16" x14ac:dyDescent="0.25">
      <c r="A222" s="11" t="s">
        <v>582</v>
      </c>
      <c r="B222" s="11" t="s">
        <v>336</v>
      </c>
      <c r="C222" s="11" t="s">
        <v>583</v>
      </c>
      <c r="D222" s="11" t="str">
        <f>Employees_Tbl[[#This Row],[LAST]] &amp;"." &amp; Employees_Tbl[[#This Row],[FIRST]]</f>
        <v>Simpson.Joan</v>
      </c>
      <c r="E222" s="11" t="s">
        <v>45</v>
      </c>
      <c r="F222" s="14">
        <v>42884</v>
      </c>
      <c r="G222" s="25">
        <f>YEAR(Employees_Tbl[[#This Row],[HIRE DATE]])</f>
        <v>2017</v>
      </c>
      <c r="H222" s="11" t="s">
        <v>111</v>
      </c>
      <c r="I222" s="11" t="s">
        <v>112</v>
      </c>
      <c r="J222" s="12">
        <v>43400</v>
      </c>
      <c r="K222" s="12">
        <v>1500</v>
      </c>
      <c r="L222" s="13">
        <v>0</v>
      </c>
      <c r="M222" s="13">
        <f>SUM(Employees_Tbl[[#This Row],[BASE SALARY]:[COMMISSION]])</f>
        <v>44900</v>
      </c>
      <c r="N222" s="11">
        <v>11</v>
      </c>
      <c r="O222" s="11">
        <v>1</v>
      </c>
      <c r="P222" s="11">
        <v>3</v>
      </c>
    </row>
    <row r="223" spans="1:16" x14ac:dyDescent="0.25">
      <c r="A223" s="11" t="s">
        <v>206</v>
      </c>
      <c r="B223" s="11" t="s">
        <v>56</v>
      </c>
      <c r="C223" s="11" t="s">
        <v>207</v>
      </c>
      <c r="D223" s="11" t="str">
        <f>Employees_Tbl[[#This Row],[LAST]] &amp;"." &amp; Employees_Tbl[[#This Row],[FIRST]]</f>
        <v>Childers.Deborah</v>
      </c>
      <c r="E223" s="11" t="s">
        <v>45</v>
      </c>
      <c r="F223" s="14">
        <v>41806</v>
      </c>
      <c r="G223" s="25">
        <f>YEAR(Employees_Tbl[[#This Row],[HIRE DATE]])</f>
        <v>2014</v>
      </c>
      <c r="H223" s="11" t="s">
        <v>111</v>
      </c>
      <c r="I223" s="11" t="s">
        <v>112</v>
      </c>
      <c r="J223" s="12">
        <v>31200</v>
      </c>
      <c r="K223" s="12">
        <v>1000</v>
      </c>
      <c r="L223" s="13">
        <v>0</v>
      </c>
      <c r="M223" s="13">
        <f>SUM(Employees_Tbl[[#This Row],[BASE SALARY]:[COMMISSION]])</f>
        <v>32200</v>
      </c>
      <c r="N223" s="11">
        <v>10</v>
      </c>
      <c r="O223" s="11">
        <v>4</v>
      </c>
      <c r="P223" s="11">
        <v>5</v>
      </c>
    </row>
    <row r="224" spans="1:16" x14ac:dyDescent="0.25">
      <c r="A224" s="11" t="s">
        <v>379</v>
      </c>
      <c r="B224" s="11" t="s">
        <v>380</v>
      </c>
      <c r="C224" s="11" t="s">
        <v>381</v>
      </c>
      <c r="D224" s="11" t="str">
        <f>Employees_Tbl[[#This Row],[LAST]] &amp;"." &amp; Employees_Tbl[[#This Row],[FIRST]]</f>
        <v>Peoples.Terry</v>
      </c>
      <c r="E224" s="11" t="s">
        <v>45</v>
      </c>
      <c r="F224" s="14">
        <v>42716</v>
      </c>
      <c r="G224" s="25">
        <f>YEAR(Employees_Tbl[[#This Row],[HIRE DATE]])</f>
        <v>2016</v>
      </c>
      <c r="H224" s="11" t="s">
        <v>111</v>
      </c>
      <c r="I224" s="11" t="s">
        <v>112</v>
      </c>
      <c r="J224" s="12">
        <v>27900</v>
      </c>
      <c r="K224" s="12">
        <v>500</v>
      </c>
      <c r="L224" s="13">
        <v>0</v>
      </c>
      <c r="M224" s="13">
        <f>SUM(Employees_Tbl[[#This Row],[BASE SALARY]:[COMMISSION]])</f>
        <v>28400</v>
      </c>
      <c r="N224" s="11">
        <v>10</v>
      </c>
      <c r="O224" s="11">
        <v>6</v>
      </c>
      <c r="P224" s="11">
        <v>5</v>
      </c>
    </row>
    <row r="225" spans="1:16" x14ac:dyDescent="0.25">
      <c r="A225" s="11" t="s">
        <v>387</v>
      </c>
      <c r="B225" s="11" t="s">
        <v>388</v>
      </c>
      <c r="C225" s="11" t="s">
        <v>271</v>
      </c>
      <c r="D225" s="11" t="str">
        <f>Employees_Tbl[[#This Row],[LAST]] &amp;"." &amp; Employees_Tbl[[#This Row],[FIRST]]</f>
        <v>Smith.Alma</v>
      </c>
      <c r="E225" s="11" t="s">
        <v>49</v>
      </c>
      <c r="F225" s="14">
        <v>42426</v>
      </c>
      <c r="G225" s="25">
        <f>YEAR(Employees_Tbl[[#This Row],[HIRE DATE]])</f>
        <v>2016</v>
      </c>
      <c r="H225" s="11" t="s">
        <v>111</v>
      </c>
      <c r="I225" s="11" t="s">
        <v>112</v>
      </c>
      <c r="J225" s="12">
        <v>63400</v>
      </c>
      <c r="K225" s="12">
        <v>2000</v>
      </c>
      <c r="L225" s="13">
        <v>32700</v>
      </c>
      <c r="M225" s="13">
        <f>SUM(Employees_Tbl[[#This Row],[BASE SALARY]:[COMMISSION]])</f>
        <v>98100</v>
      </c>
      <c r="N225" s="11">
        <v>18</v>
      </c>
      <c r="O225" s="11">
        <v>6</v>
      </c>
      <c r="P225" s="11">
        <v>4</v>
      </c>
    </row>
    <row r="226" spans="1:16" x14ac:dyDescent="0.25">
      <c r="A226" s="11" t="s">
        <v>323</v>
      </c>
      <c r="B226" s="11" t="s">
        <v>204</v>
      </c>
      <c r="C226" s="11" t="s">
        <v>1347</v>
      </c>
      <c r="D226" s="11" t="str">
        <f>Employees_Tbl[[#This Row],[LAST]] &amp;"." &amp; Employees_Tbl[[#This Row],[FIRST]]</f>
        <v>Avent.Richard</v>
      </c>
      <c r="E226" s="11" t="s">
        <v>49</v>
      </c>
      <c r="F226" s="14">
        <v>42122</v>
      </c>
      <c r="G226" s="25">
        <f>YEAR(Employees_Tbl[[#This Row],[HIRE DATE]])</f>
        <v>2015</v>
      </c>
      <c r="H226" s="11" t="s">
        <v>111</v>
      </c>
      <c r="I226" s="11" t="s">
        <v>112</v>
      </c>
      <c r="J226" s="13">
        <v>58300</v>
      </c>
      <c r="K226" s="12">
        <v>2000</v>
      </c>
      <c r="L226" s="13">
        <v>38600</v>
      </c>
      <c r="M226" s="13">
        <f>SUM(Employees_Tbl[[#This Row],[BASE SALARY]:[COMMISSION]])</f>
        <v>98900</v>
      </c>
      <c r="N226" s="11">
        <v>13</v>
      </c>
      <c r="O226" s="11">
        <v>7</v>
      </c>
      <c r="P226" s="11">
        <v>3</v>
      </c>
    </row>
    <row r="227" spans="1:16" x14ac:dyDescent="0.25">
      <c r="A227" s="11" t="s">
        <v>590</v>
      </c>
      <c r="B227" s="11" t="s">
        <v>284</v>
      </c>
      <c r="C227" s="11" t="s">
        <v>591</v>
      </c>
      <c r="D227" s="11" t="str">
        <f>Employees_Tbl[[#This Row],[LAST]] &amp;"." &amp; Employees_Tbl[[#This Row],[FIRST]]</f>
        <v>Weaver.Frederick</v>
      </c>
      <c r="E227" s="11" t="s">
        <v>49</v>
      </c>
      <c r="F227" s="14">
        <v>42880</v>
      </c>
      <c r="G227" s="25">
        <f>YEAR(Employees_Tbl[[#This Row],[HIRE DATE]])</f>
        <v>2017</v>
      </c>
      <c r="H227" s="11" t="s">
        <v>111</v>
      </c>
      <c r="I227" s="11" t="s">
        <v>112</v>
      </c>
      <c r="J227" s="12">
        <v>58000</v>
      </c>
      <c r="K227" s="12">
        <v>1500</v>
      </c>
      <c r="L227" s="13">
        <v>15400</v>
      </c>
      <c r="M227" s="13">
        <f>SUM(Employees_Tbl[[#This Row],[BASE SALARY]:[COMMISSION]])</f>
        <v>74900</v>
      </c>
      <c r="N227" s="11">
        <v>17</v>
      </c>
      <c r="O227" s="11">
        <v>12</v>
      </c>
      <c r="P227" s="11">
        <v>3</v>
      </c>
    </row>
    <row r="228" spans="1:16" x14ac:dyDescent="0.25">
      <c r="A228" s="11" t="s">
        <v>389</v>
      </c>
      <c r="B228" s="11" t="s">
        <v>390</v>
      </c>
      <c r="C228" s="11" t="s">
        <v>391</v>
      </c>
      <c r="D228" s="11" t="str">
        <f>Employees_Tbl[[#This Row],[LAST]] &amp;"." &amp; Employees_Tbl[[#This Row],[FIRST]]</f>
        <v>Cole.Dorthy</v>
      </c>
      <c r="E228" s="11" t="s">
        <v>49</v>
      </c>
      <c r="F228" s="14">
        <v>42570</v>
      </c>
      <c r="G228" s="25">
        <f>YEAR(Employees_Tbl[[#This Row],[HIRE DATE]])</f>
        <v>2016</v>
      </c>
      <c r="H228" s="11" t="s">
        <v>111</v>
      </c>
      <c r="I228" s="11" t="s">
        <v>112</v>
      </c>
      <c r="J228" s="12">
        <v>51700</v>
      </c>
      <c r="K228" s="12">
        <v>2000</v>
      </c>
      <c r="L228" s="13">
        <v>49100</v>
      </c>
      <c r="M228" s="13">
        <f>SUM(Employees_Tbl[[#This Row],[BASE SALARY]:[COMMISSION]])</f>
        <v>102800</v>
      </c>
      <c r="N228" s="11">
        <v>15</v>
      </c>
      <c r="O228" s="11">
        <v>9</v>
      </c>
      <c r="P228" s="11">
        <v>3</v>
      </c>
    </row>
    <row r="229" spans="1:16" x14ac:dyDescent="0.25">
      <c r="A229" s="11" t="s">
        <v>320</v>
      </c>
      <c r="B229" s="11" t="s">
        <v>321</v>
      </c>
      <c r="C229" s="11" t="s">
        <v>322</v>
      </c>
      <c r="D229" s="11" t="str">
        <f>Employees_Tbl[[#This Row],[LAST]] &amp;"." &amp; Employees_Tbl[[#This Row],[FIRST]]</f>
        <v>Diaz.Elaine</v>
      </c>
      <c r="E229" s="11" t="s">
        <v>49</v>
      </c>
      <c r="F229" s="14">
        <v>42359</v>
      </c>
      <c r="G229" s="25">
        <f>YEAR(Employees_Tbl[[#This Row],[HIRE DATE]])</f>
        <v>2015</v>
      </c>
      <c r="H229" s="11" t="s">
        <v>111</v>
      </c>
      <c r="I229" s="11" t="s">
        <v>112</v>
      </c>
      <c r="J229" s="12">
        <v>50800</v>
      </c>
      <c r="K229" s="12">
        <v>1500</v>
      </c>
      <c r="L229" s="13">
        <v>34200</v>
      </c>
      <c r="M229" s="13">
        <f>SUM(Employees_Tbl[[#This Row],[BASE SALARY]:[COMMISSION]])</f>
        <v>86500</v>
      </c>
      <c r="N229" s="11">
        <v>18</v>
      </c>
      <c r="O229" s="11">
        <v>2</v>
      </c>
      <c r="P229" s="11">
        <v>5</v>
      </c>
    </row>
    <row r="230" spans="1:16" x14ac:dyDescent="0.25">
      <c r="A230" s="11" t="s">
        <v>592</v>
      </c>
      <c r="B230" s="11" t="s">
        <v>223</v>
      </c>
      <c r="C230" s="11" t="s">
        <v>1366</v>
      </c>
      <c r="D230" s="11" t="str">
        <f>Employees_Tbl[[#This Row],[LAST]] &amp;"." &amp; Employees_Tbl[[#This Row],[FIRST]]</f>
        <v>Deford.Michael</v>
      </c>
      <c r="E230" s="11" t="s">
        <v>49</v>
      </c>
      <c r="F230" s="14">
        <v>42768</v>
      </c>
      <c r="G230" s="25">
        <f>YEAR(Employees_Tbl[[#This Row],[HIRE DATE]])</f>
        <v>2017</v>
      </c>
      <c r="H230" s="11" t="s">
        <v>111</v>
      </c>
      <c r="I230" s="11" t="s">
        <v>112</v>
      </c>
      <c r="J230" s="12">
        <v>50500</v>
      </c>
      <c r="K230" s="12">
        <v>2000</v>
      </c>
      <c r="L230" s="13">
        <v>45200</v>
      </c>
      <c r="M230" s="13">
        <f>SUM(Employees_Tbl[[#This Row],[BASE SALARY]:[COMMISSION]])</f>
        <v>97700</v>
      </c>
      <c r="N230" s="11">
        <v>11</v>
      </c>
      <c r="O230" s="11">
        <v>5</v>
      </c>
      <c r="P230" s="11">
        <v>5</v>
      </c>
    </row>
    <row r="231" spans="1:16" x14ac:dyDescent="0.25">
      <c r="A231" s="11" t="s">
        <v>1123</v>
      </c>
      <c r="B231" s="11" t="s">
        <v>1124</v>
      </c>
      <c r="C231" s="11" t="s">
        <v>1125</v>
      </c>
      <c r="D231" s="11" t="str">
        <f>Employees_Tbl[[#This Row],[LAST]] &amp;"." &amp; Employees_Tbl[[#This Row],[FIRST]]</f>
        <v>Matthews.Otto</v>
      </c>
      <c r="E231" s="11" t="s">
        <v>49</v>
      </c>
      <c r="F231" s="14">
        <v>44163</v>
      </c>
      <c r="G231" s="25">
        <f>YEAR(Employees_Tbl[[#This Row],[HIRE DATE]])</f>
        <v>2020</v>
      </c>
      <c r="H231" s="11" t="s">
        <v>111</v>
      </c>
      <c r="I231" s="11" t="s">
        <v>112</v>
      </c>
      <c r="J231" s="12">
        <v>50500</v>
      </c>
      <c r="K231" s="12">
        <v>1500</v>
      </c>
      <c r="L231" s="13">
        <v>49600</v>
      </c>
      <c r="M231" s="13">
        <f>SUM(Employees_Tbl[[#This Row],[BASE SALARY]:[COMMISSION]])</f>
        <v>101600</v>
      </c>
      <c r="N231" s="11">
        <v>12</v>
      </c>
      <c r="O231" s="11">
        <v>8</v>
      </c>
      <c r="P231" s="11">
        <v>4</v>
      </c>
    </row>
    <row r="232" spans="1:16" x14ac:dyDescent="0.25">
      <c r="A232" s="11" t="s">
        <v>382</v>
      </c>
      <c r="B232" s="11" t="s">
        <v>355</v>
      </c>
      <c r="C232" s="11" t="s">
        <v>383</v>
      </c>
      <c r="D232" s="11" t="str">
        <f>Employees_Tbl[[#This Row],[LAST]] &amp;"." &amp; Employees_Tbl[[#This Row],[FIRST]]</f>
        <v>Wells.Margaret</v>
      </c>
      <c r="E232" s="11" t="s">
        <v>49</v>
      </c>
      <c r="F232" s="14">
        <v>42668</v>
      </c>
      <c r="G232" s="25">
        <f>YEAR(Employees_Tbl[[#This Row],[HIRE DATE]])</f>
        <v>2016</v>
      </c>
      <c r="H232" s="11" t="s">
        <v>111</v>
      </c>
      <c r="I232" s="11" t="s">
        <v>112</v>
      </c>
      <c r="J232" s="12">
        <v>45200</v>
      </c>
      <c r="K232" s="12">
        <v>1500</v>
      </c>
      <c r="L232" s="13">
        <v>24600</v>
      </c>
      <c r="M232" s="13">
        <f>SUM(Employees_Tbl[[#This Row],[BASE SALARY]:[COMMISSION]])</f>
        <v>71300</v>
      </c>
      <c r="N232" s="11">
        <v>16</v>
      </c>
      <c r="O232" s="11">
        <v>7</v>
      </c>
      <c r="P232" s="11">
        <v>4</v>
      </c>
    </row>
    <row r="233" spans="1:16" x14ac:dyDescent="0.25">
      <c r="A233" s="11" t="s">
        <v>904</v>
      </c>
      <c r="B233" s="11" t="s">
        <v>905</v>
      </c>
      <c r="C233" s="11" t="s">
        <v>906</v>
      </c>
      <c r="D233" s="11" t="str">
        <f>Employees_Tbl[[#This Row],[LAST]] &amp;"." &amp; Employees_Tbl[[#This Row],[FIRST]]</f>
        <v>Delavega.Cecil</v>
      </c>
      <c r="E233" s="11" t="s">
        <v>49</v>
      </c>
      <c r="F233" s="14">
        <v>43622</v>
      </c>
      <c r="G233" s="25">
        <f>YEAR(Employees_Tbl[[#This Row],[HIRE DATE]])</f>
        <v>2019</v>
      </c>
      <c r="H233" s="11" t="s">
        <v>111</v>
      </c>
      <c r="I233" s="11" t="s">
        <v>112</v>
      </c>
      <c r="J233" s="12">
        <v>45100</v>
      </c>
      <c r="K233" s="12">
        <v>1500</v>
      </c>
      <c r="L233" s="13">
        <v>52500</v>
      </c>
      <c r="M233" s="13">
        <f>SUM(Employees_Tbl[[#This Row],[BASE SALARY]:[COMMISSION]])</f>
        <v>99100</v>
      </c>
      <c r="N233" s="11">
        <v>15</v>
      </c>
      <c r="O233" s="11">
        <v>9</v>
      </c>
      <c r="P233" s="11">
        <v>3</v>
      </c>
    </row>
    <row r="234" spans="1:16" x14ac:dyDescent="0.25">
      <c r="A234" s="11" t="s">
        <v>139</v>
      </c>
      <c r="B234" s="11" t="s">
        <v>140</v>
      </c>
      <c r="C234" s="11" t="s">
        <v>141</v>
      </c>
      <c r="D234" s="11" t="str">
        <f>Employees_Tbl[[#This Row],[LAST]] &amp;"." &amp; Employees_Tbl[[#This Row],[FIRST]]</f>
        <v>Myers.Jerome</v>
      </c>
      <c r="E234" s="11" t="s">
        <v>49</v>
      </c>
      <c r="F234" s="14">
        <v>41494</v>
      </c>
      <c r="G234" s="25">
        <f>YEAR(Employees_Tbl[[#This Row],[HIRE DATE]])</f>
        <v>2013</v>
      </c>
      <c r="H234" s="11" t="s">
        <v>111</v>
      </c>
      <c r="I234" s="11" t="s">
        <v>112</v>
      </c>
      <c r="J234" s="12">
        <v>40100</v>
      </c>
      <c r="K234" s="12">
        <v>1000</v>
      </c>
      <c r="L234" s="13">
        <v>31100</v>
      </c>
      <c r="M234" s="13">
        <f>SUM(Employees_Tbl[[#This Row],[BASE SALARY]:[COMMISSION]])</f>
        <v>72200</v>
      </c>
      <c r="N234" s="11">
        <v>12</v>
      </c>
      <c r="O234" s="11">
        <v>5</v>
      </c>
      <c r="P234" s="11">
        <v>3</v>
      </c>
    </row>
    <row r="235" spans="1:16" x14ac:dyDescent="0.25">
      <c r="A235" s="11" t="s">
        <v>698</v>
      </c>
      <c r="B235" s="11" t="s">
        <v>699</v>
      </c>
      <c r="C235" s="11" t="s">
        <v>700</v>
      </c>
      <c r="D235" s="11" t="str">
        <f>Employees_Tbl[[#This Row],[LAST]] &amp;"." &amp; Employees_Tbl[[#This Row],[FIRST]]</f>
        <v>Defreitas.Jonathon</v>
      </c>
      <c r="E235" s="11" t="s">
        <v>49</v>
      </c>
      <c r="F235" s="14">
        <v>43424</v>
      </c>
      <c r="G235" s="25">
        <f>YEAR(Employees_Tbl[[#This Row],[HIRE DATE]])</f>
        <v>2018</v>
      </c>
      <c r="H235" s="11" t="s">
        <v>111</v>
      </c>
      <c r="I235" s="11" t="s">
        <v>112</v>
      </c>
      <c r="J235" s="12">
        <v>37000</v>
      </c>
      <c r="K235" s="12">
        <v>1000</v>
      </c>
      <c r="L235" s="13">
        <v>17700</v>
      </c>
      <c r="M235" s="13">
        <f>SUM(Employees_Tbl[[#This Row],[BASE SALARY]:[COMMISSION]])</f>
        <v>55700</v>
      </c>
      <c r="N235" s="11">
        <v>15</v>
      </c>
      <c r="O235" s="11">
        <v>10</v>
      </c>
      <c r="P235" s="11">
        <v>5</v>
      </c>
    </row>
    <row r="236" spans="1:16" x14ac:dyDescent="0.25">
      <c r="A236" s="11" t="s">
        <v>701</v>
      </c>
      <c r="B236" s="11" t="s">
        <v>702</v>
      </c>
      <c r="C236" s="11" t="s">
        <v>703</v>
      </c>
      <c r="D236" s="11" t="str">
        <f>Employees_Tbl[[#This Row],[LAST]] &amp;"." &amp; Employees_Tbl[[#This Row],[FIRST]]</f>
        <v>Burchett.Jenna</v>
      </c>
      <c r="E236" s="11" t="s">
        <v>49</v>
      </c>
      <c r="F236" s="14">
        <v>43136</v>
      </c>
      <c r="G236" s="25">
        <f>YEAR(Employees_Tbl[[#This Row],[HIRE DATE]])</f>
        <v>2018</v>
      </c>
      <c r="H236" s="11" t="s">
        <v>111</v>
      </c>
      <c r="I236" s="11" t="s">
        <v>112</v>
      </c>
      <c r="J236" s="12">
        <v>36800</v>
      </c>
      <c r="K236" s="12">
        <v>1000</v>
      </c>
      <c r="L236" s="13">
        <v>22100</v>
      </c>
      <c r="M236" s="13">
        <f>SUM(Employees_Tbl[[#This Row],[BASE SALARY]:[COMMISSION]])</f>
        <v>59900</v>
      </c>
      <c r="N236" s="11">
        <v>14</v>
      </c>
      <c r="O236" s="11">
        <v>5</v>
      </c>
      <c r="P236" s="11">
        <v>4</v>
      </c>
    </row>
    <row r="237" spans="1:16" x14ac:dyDescent="0.25">
      <c r="A237" s="11" t="s">
        <v>136</v>
      </c>
      <c r="B237" s="11" t="s">
        <v>137</v>
      </c>
      <c r="C237" s="11" t="s">
        <v>138</v>
      </c>
      <c r="D237" s="11" t="str">
        <f>Employees_Tbl[[#This Row],[LAST]] &amp;"." &amp; Employees_Tbl[[#This Row],[FIRST]]</f>
        <v>Speakman.Timothy</v>
      </c>
      <c r="E237" s="11" t="s">
        <v>49</v>
      </c>
      <c r="F237" s="14">
        <v>41358</v>
      </c>
      <c r="G237" s="25">
        <f>YEAR(Employees_Tbl[[#This Row],[HIRE DATE]])</f>
        <v>2013</v>
      </c>
      <c r="H237" s="11" t="s">
        <v>111</v>
      </c>
      <c r="I237" s="11" t="s">
        <v>112</v>
      </c>
      <c r="J237" s="12">
        <v>33600</v>
      </c>
      <c r="K237" s="12">
        <v>1500</v>
      </c>
      <c r="L237" s="13">
        <v>19300</v>
      </c>
      <c r="M237" s="13">
        <f>SUM(Employees_Tbl[[#This Row],[BASE SALARY]:[COMMISSION]])</f>
        <v>54400</v>
      </c>
      <c r="N237" s="11">
        <v>10</v>
      </c>
      <c r="O237" s="11">
        <v>7</v>
      </c>
      <c r="P237" s="11">
        <v>4</v>
      </c>
    </row>
    <row r="238" spans="1:16" x14ac:dyDescent="0.25">
      <c r="A238" s="11" t="s">
        <v>384</v>
      </c>
      <c r="B238" s="11" t="s">
        <v>385</v>
      </c>
      <c r="C238" s="11" t="s">
        <v>386</v>
      </c>
      <c r="D238" s="11" t="str">
        <f>Employees_Tbl[[#This Row],[LAST]] &amp;"." &amp; Employees_Tbl[[#This Row],[FIRST]]</f>
        <v>Pettit.Clemente</v>
      </c>
      <c r="E238" s="11" t="s">
        <v>49</v>
      </c>
      <c r="F238" s="14">
        <v>42712</v>
      </c>
      <c r="G238" s="25">
        <f>YEAR(Employees_Tbl[[#This Row],[HIRE DATE]])</f>
        <v>2016</v>
      </c>
      <c r="H238" s="11" t="s">
        <v>111</v>
      </c>
      <c r="I238" s="11" t="s">
        <v>112</v>
      </c>
      <c r="J238" s="12">
        <v>33500</v>
      </c>
      <c r="K238" s="12">
        <v>1000</v>
      </c>
      <c r="L238" s="13">
        <v>39400</v>
      </c>
      <c r="M238" s="13">
        <f>SUM(Employees_Tbl[[#This Row],[BASE SALARY]:[COMMISSION]])</f>
        <v>73900</v>
      </c>
      <c r="N238" s="11">
        <v>10</v>
      </c>
      <c r="O238" s="11">
        <v>6</v>
      </c>
      <c r="P238" s="11">
        <v>4</v>
      </c>
    </row>
    <row r="239" spans="1:16" x14ac:dyDescent="0.25">
      <c r="A239" s="11" t="s">
        <v>1118</v>
      </c>
      <c r="B239" s="11" t="s">
        <v>620</v>
      </c>
      <c r="C239" s="11" t="s">
        <v>1119</v>
      </c>
      <c r="D239" s="11" t="str">
        <f>Employees_Tbl[[#This Row],[LAST]] &amp;"." &amp; Employees_Tbl[[#This Row],[FIRST]]</f>
        <v>Mcnabb.Benjamin</v>
      </c>
      <c r="E239" s="11" t="s">
        <v>49</v>
      </c>
      <c r="F239" s="14">
        <v>43949</v>
      </c>
      <c r="G239" s="25">
        <f>YEAR(Employees_Tbl[[#This Row],[HIRE DATE]])</f>
        <v>2020</v>
      </c>
      <c r="H239" s="11" t="s">
        <v>111</v>
      </c>
      <c r="I239" s="11" t="s">
        <v>112</v>
      </c>
      <c r="J239" s="12">
        <v>33000</v>
      </c>
      <c r="K239" s="12">
        <v>1000</v>
      </c>
      <c r="L239" s="13">
        <v>22600</v>
      </c>
      <c r="M239" s="13">
        <f>SUM(Employees_Tbl[[#This Row],[BASE SALARY]:[COMMISSION]])</f>
        <v>56600</v>
      </c>
      <c r="N239" s="11">
        <v>10</v>
      </c>
      <c r="O239" s="11">
        <v>7</v>
      </c>
      <c r="P239" s="11">
        <v>3</v>
      </c>
    </row>
    <row r="240" spans="1:16" x14ac:dyDescent="0.25">
      <c r="A240" s="11" t="s">
        <v>1372</v>
      </c>
      <c r="B240" s="11" t="s">
        <v>134</v>
      </c>
      <c r="C240" s="11" t="s">
        <v>1117</v>
      </c>
      <c r="D240" s="11" t="str">
        <f>Employees_Tbl[[#This Row],[LAST]] &amp;"." &amp; Employees_Tbl[[#This Row],[FIRST]]</f>
        <v>Merchant.James</v>
      </c>
      <c r="E240" s="11" t="s">
        <v>49</v>
      </c>
      <c r="F240" s="14">
        <v>44075</v>
      </c>
      <c r="G240" s="25">
        <f>YEAR(Employees_Tbl[[#This Row],[HIRE DATE]])</f>
        <v>2020</v>
      </c>
      <c r="H240" s="11" t="s">
        <v>111</v>
      </c>
      <c r="I240" s="11" t="s">
        <v>112</v>
      </c>
      <c r="J240" s="12">
        <v>30500</v>
      </c>
      <c r="K240" s="12">
        <v>500</v>
      </c>
      <c r="L240" s="13">
        <v>20200</v>
      </c>
      <c r="M240" s="13">
        <f>SUM(Employees_Tbl[[#This Row],[BASE SALARY]:[COMMISSION]])</f>
        <v>51200</v>
      </c>
      <c r="N240" s="11">
        <v>15</v>
      </c>
      <c r="O240" s="11">
        <v>8</v>
      </c>
      <c r="P240" s="11">
        <v>4</v>
      </c>
    </row>
    <row r="241" spans="1:16" x14ac:dyDescent="0.25">
      <c r="A241" s="11" t="s">
        <v>1120</v>
      </c>
      <c r="B241" s="11" t="s">
        <v>1121</v>
      </c>
      <c r="C241" s="11" t="s">
        <v>1122</v>
      </c>
      <c r="D241" s="11" t="str">
        <f>Employees_Tbl[[#This Row],[LAST]] &amp;"." &amp; Employees_Tbl[[#This Row],[FIRST]]</f>
        <v>Garrison.Laura</v>
      </c>
      <c r="E241" s="11" t="s">
        <v>49</v>
      </c>
      <c r="F241" s="14">
        <v>44131</v>
      </c>
      <c r="G241" s="25">
        <f>YEAR(Employees_Tbl[[#This Row],[HIRE DATE]])</f>
        <v>2020</v>
      </c>
      <c r="H241" s="11" t="s">
        <v>111</v>
      </c>
      <c r="I241" s="11" t="s">
        <v>112</v>
      </c>
      <c r="J241" s="12">
        <v>30200</v>
      </c>
      <c r="K241" s="12">
        <v>1000</v>
      </c>
      <c r="L241" s="13">
        <v>34100</v>
      </c>
      <c r="M241" s="13">
        <f>SUM(Employees_Tbl[[#This Row],[BASE SALARY]:[COMMISSION]])</f>
        <v>65300</v>
      </c>
      <c r="N241" s="11">
        <v>14</v>
      </c>
      <c r="O241" s="11">
        <v>2</v>
      </c>
      <c r="P241" s="11">
        <v>5</v>
      </c>
    </row>
    <row r="242" spans="1:16" x14ac:dyDescent="0.25">
      <c r="A242" s="11" t="s">
        <v>948</v>
      </c>
      <c r="B242" s="11" t="s">
        <v>114</v>
      </c>
      <c r="C242" s="11" t="s">
        <v>589</v>
      </c>
      <c r="D242" s="11" t="str">
        <f>Employees_Tbl[[#This Row],[LAST]] &amp;"." &amp; Employees_Tbl[[#This Row],[FIRST]]</f>
        <v>Moreno.William</v>
      </c>
      <c r="E242" s="11" t="s">
        <v>53</v>
      </c>
      <c r="F242" s="14">
        <v>43560</v>
      </c>
      <c r="G242" s="25">
        <f>YEAR(Employees_Tbl[[#This Row],[HIRE DATE]])</f>
        <v>2019</v>
      </c>
      <c r="H242" s="11" t="s">
        <v>217</v>
      </c>
      <c r="I242" s="11" t="s">
        <v>218</v>
      </c>
      <c r="J242" s="12">
        <v>102200</v>
      </c>
      <c r="K242" s="12">
        <v>4000</v>
      </c>
      <c r="L242" s="13">
        <v>0</v>
      </c>
      <c r="M242" s="13">
        <f>SUM(Employees_Tbl[[#This Row],[BASE SALARY]:[COMMISSION]])</f>
        <v>106200</v>
      </c>
      <c r="N242" s="11">
        <v>14</v>
      </c>
      <c r="O242" s="11">
        <v>6</v>
      </c>
      <c r="P242" s="11">
        <v>3</v>
      </c>
    </row>
    <row r="243" spans="1:16" x14ac:dyDescent="0.25">
      <c r="A243" s="11" t="s">
        <v>788</v>
      </c>
      <c r="B243" s="11" t="s">
        <v>579</v>
      </c>
      <c r="C243" s="11" t="s">
        <v>789</v>
      </c>
      <c r="D243" s="11" t="str">
        <f>Employees_Tbl[[#This Row],[LAST]] &amp;"." &amp; Employees_Tbl[[#This Row],[FIRST]]</f>
        <v>Daly.Cynthia</v>
      </c>
      <c r="E243" s="11" t="s">
        <v>53</v>
      </c>
      <c r="F243" s="14">
        <v>43353</v>
      </c>
      <c r="G243" s="25">
        <f>YEAR(Employees_Tbl[[#This Row],[HIRE DATE]])</f>
        <v>2018</v>
      </c>
      <c r="H243" s="11" t="s">
        <v>217</v>
      </c>
      <c r="I243" s="11" t="s">
        <v>218</v>
      </c>
      <c r="J243" s="12">
        <v>85600</v>
      </c>
      <c r="K243" s="12">
        <v>2000</v>
      </c>
      <c r="L243" s="13">
        <v>0</v>
      </c>
      <c r="M243" s="13">
        <f>SUM(Employees_Tbl[[#This Row],[BASE SALARY]:[COMMISSION]])</f>
        <v>87600</v>
      </c>
      <c r="N243" s="11">
        <v>15</v>
      </c>
      <c r="O243" s="11">
        <v>5</v>
      </c>
      <c r="P243" s="11">
        <v>3</v>
      </c>
    </row>
    <row r="244" spans="1:16" x14ac:dyDescent="0.25">
      <c r="A244" s="11" t="s">
        <v>785</v>
      </c>
      <c r="B244" s="11" t="s">
        <v>786</v>
      </c>
      <c r="C244" s="11" t="s">
        <v>787</v>
      </c>
      <c r="D244" s="11" t="str">
        <f>Employees_Tbl[[#This Row],[LAST]] &amp;"." &amp; Employees_Tbl[[#This Row],[FIRST]]</f>
        <v>Pannell.Christina</v>
      </c>
      <c r="E244" s="11" t="s">
        <v>53</v>
      </c>
      <c r="F244" s="14">
        <v>43433</v>
      </c>
      <c r="G244" s="25">
        <f>YEAR(Employees_Tbl[[#This Row],[HIRE DATE]])</f>
        <v>2018</v>
      </c>
      <c r="H244" s="11" t="s">
        <v>217</v>
      </c>
      <c r="I244" s="11" t="s">
        <v>218</v>
      </c>
      <c r="J244" s="12">
        <v>81100</v>
      </c>
      <c r="K244" s="12">
        <v>2500</v>
      </c>
      <c r="L244" s="13">
        <v>0</v>
      </c>
      <c r="M244" s="13">
        <f>SUM(Employees_Tbl[[#This Row],[BASE SALARY]:[COMMISSION]])</f>
        <v>83600</v>
      </c>
      <c r="N244" s="11">
        <v>12</v>
      </c>
      <c r="O244" s="11">
        <v>7</v>
      </c>
      <c r="P244" s="11">
        <v>5</v>
      </c>
    </row>
    <row r="245" spans="1:16" x14ac:dyDescent="0.25">
      <c r="A245" s="11" t="s">
        <v>782</v>
      </c>
      <c r="B245" s="11" t="s">
        <v>783</v>
      </c>
      <c r="C245" s="11" t="s">
        <v>784</v>
      </c>
      <c r="D245" s="11" t="str">
        <f>Employees_Tbl[[#This Row],[LAST]] &amp;"." &amp; Employees_Tbl[[#This Row],[FIRST]]</f>
        <v>Jasso.Jane</v>
      </c>
      <c r="E245" s="11" t="s">
        <v>53</v>
      </c>
      <c r="F245" s="14">
        <v>43121</v>
      </c>
      <c r="G245" s="25">
        <f>YEAR(Employees_Tbl[[#This Row],[HIRE DATE]])</f>
        <v>2018</v>
      </c>
      <c r="H245" s="11" t="s">
        <v>217</v>
      </c>
      <c r="I245" s="11" t="s">
        <v>218</v>
      </c>
      <c r="J245" s="12">
        <v>62500</v>
      </c>
      <c r="K245" s="12">
        <v>2000</v>
      </c>
      <c r="L245" s="13">
        <v>0</v>
      </c>
      <c r="M245" s="13">
        <f>SUM(Employees_Tbl[[#This Row],[BASE SALARY]:[COMMISSION]])</f>
        <v>64500</v>
      </c>
      <c r="N245" s="11">
        <v>18</v>
      </c>
      <c r="O245" s="11">
        <v>5</v>
      </c>
      <c r="P245" s="11">
        <v>5</v>
      </c>
    </row>
    <row r="246" spans="1:16" x14ac:dyDescent="0.25">
      <c r="A246" s="11" t="s">
        <v>1170</v>
      </c>
      <c r="B246" s="11" t="s">
        <v>1121</v>
      </c>
      <c r="C246" s="11" t="s">
        <v>1171</v>
      </c>
      <c r="D246" s="11" t="str">
        <f>Employees_Tbl[[#This Row],[LAST]] &amp;"." &amp; Employees_Tbl[[#This Row],[FIRST]]</f>
        <v>Head.Laura</v>
      </c>
      <c r="E246" s="11" t="s">
        <v>53</v>
      </c>
      <c r="F246" s="14">
        <v>43840</v>
      </c>
      <c r="G246" s="25">
        <f>YEAR(Employees_Tbl[[#This Row],[HIRE DATE]])</f>
        <v>2020</v>
      </c>
      <c r="H246" s="11" t="s">
        <v>217</v>
      </c>
      <c r="I246" s="11" t="s">
        <v>218</v>
      </c>
      <c r="J246" s="12">
        <v>47300</v>
      </c>
      <c r="K246" s="12">
        <v>1000</v>
      </c>
      <c r="L246" s="13">
        <v>0</v>
      </c>
      <c r="M246" s="13">
        <f>SUM(Employees_Tbl[[#This Row],[BASE SALARY]:[COMMISSION]])</f>
        <v>48300</v>
      </c>
      <c r="N246" s="11">
        <v>14</v>
      </c>
      <c r="O246" s="11">
        <v>5</v>
      </c>
      <c r="P246" s="11">
        <v>4</v>
      </c>
    </row>
    <row r="247" spans="1:16" x14ac:dyDescent="0.25">
      <c r="A247" s="11" t="s">
        <v>214</v>
      </c>
      <c r="B247" s="11" t="s">
        <v>215</v>
      </c>
      <c r="C247" s="11" t="s">
        <v>216</v>
      </c>
      <c r="D247" s="11" t="str">
        <f>Employees_Tbl[[#This Row],[LAST]] &amp;"." &amp; Employees_Tbl[[#This Row],[FIRST]]</f>
        <v>Luo.Randi</v>
      </c>
      <c r="E247" s="11" t="s">
        <v>53</v>
      </c>
      <c r="F247" s="14">
        <v>41755</v>
      </c>
      <c r="G247" s="25">
        <f>YEAR(Employees_Tbl[[#This Row],[HIRE DATE]])</f>
        <v>2014</v>
      </c>
      <c r="H247" s="11" t="s">
        <v>217</v>
      </c>
      <c r="I247" s="11" t="s">
        <v>218</v>
      </c>
      <c r="J247" s="12">
        <v>47200</v>
      </c>
      <c r="K247" s="12">
        <v>1500</v>
      </c>
      <c r="L247" s="13">
        <v>0</v>
      </c>
      <c r="M247" s="13">
        <f>SUM(Employees_Tbl[[#This Row],[BASE SALARY]:[COMMISSION]])</f>
        <v>48700</v>
      </c>
      <c r="N247" s="11">
        <v>11</v>
      </c>
      <c r="O247" s="11">
        <v>3</v>
      </c>
      <c r="P247" s="11">
        <v>4</v>
      </c>
    </row>
    <row r="248" spans="1:16" x14ac:dyDescent="0.25">
      <c r="A248" s="11" t="s">
        <v>392</v>
      </c>
      <c r="B248" s="11" t="s">
        <v>393</v>
      </c>
      <c r="C248" s="11" t="s">
        <v>394</v>
      </c>
      <c r="D248" s="11" t="str">
        <f>Employees_Tbl[[#This Row],[LAST]] &amp;"." &amp; Employees_Tbl[[#This Row],[FIRST]]</f>
        <v>Ford.Lewis</v>
      </c>
      <c r="E248" s="11" t="s">
        <v>53</v>
      </c>
      <c r="F248" s="14">
        <v>42456</v>
      </c>
      <c r="G248" s="25">
        <f>YEAR(Employees_Tbl[[#This Row],[HIRE DATE]])</f>
        <v>2016</v>
      </c>
      <c r="H248" s="11" t="s">
        <v>217</v>
      </c>
      <c r="I248" s="11" t="s">
        <v>218</v>
      </c>
      <c r="J248" s="12">
        <v>42900</v>
      </c>
      <c r="K248" s="12">
        <v>1000</v>
      </c>
      <c r="L248" s="13">
        <v>0</v>
      </c>
      <c r="M248" s="13">
        <f>SUM(Employees_Tbl[[#This Row],[BASE SALARY]:[COMMISSION]])</f>
        <v>43900</v>
      </c>
      <c r="N248" s="11">
        <v>10</v>
      </c>
      <c r="O248" s="11">
        <v>4</v>
      </c>
      <c r="P248" s="11">
        <v>4</v>
      </c>
    </row>
    <row r="249" spans="1:16" x14ac:dyDescent="0.25">
      <c r="A249" s="11" t="s">
        <v>593</v>
      </c>
      <c r="B249" s="11" t="s">
        <v>594</v>
      </c>
      <c r="C249" s="11" t="s">
        <v>595</v>
      </c>
      <c r="D249" s="11" t="str">
        <f>Employees_Tbl[[#This Row],[LAST]] &amp;"." &amp; Employees_Tbl[[#This Row],[FIRST]]</f>
        <v>Bustamante.Camille</v>
      </c>
      <c r="E249" s="11" t="s">
        <v>53</v>
      </c>
      <c r="F249" s="14">
        <v>42789</v>
      </c>
      <c r="G249" s="25">
        <f>YEAR(Employees_Tbl[[#This Row],[HIRE DATE]])</f>
        <v>2017</v>
      </c>
      <c r="H249" s="11" t="s">
        <v>217</v>
      </c>
      <c r="I249" s="11" t="s">
        <v>218</v>
      </c>
      <c r="J249" s="12">
        <v>42500</v>
      </c>
      <c r="K249" s="12">
        <v>1000</v>
      </c>
      <c r="L249" s="13">
        <v>0</v>
      </c>
      <c r="M249" s="13">
        <f>SUM(Employees_Tbl[[#This Row],[BASE SALARY]:[COMMISSION]])</f>
        <v>43500</v>
      </c>
      <c r="N249" s="11">
        <v>16</v>
      </c>
      <c r="O249" s="11">
        <v>6</v>
      </c>
      <c r="P249" s="11">
        <v>3</v>
      </c>
    </row>
    <row r="250" spans="1:16" x14ac:dyDescent="0.25">
      <c r="A250" s="11" t="s">
        <v>1169</v>
      </c>
      <c r="B250" s="11" t="s">
        <v>1039</v>
      </c>
      <c r="C250" s="11" t="s">
        <v>373</v>
      </c>
      <c r="D250" s="11" t="str">
        <f>Employees_Tbl[[#This Row],[LAST]] &amp;"." &amp; Employees_Tbl[[#This Row],[FIRST]]</f>
        <v>Martin.Cheryl</v>
      </c>
      <c r="E250" s="11" t="s">
        <v>53</v>
      </c>
      <c r="F250" s="14">
        <v>43907</v>
      </c>
      <c r="G250" s="25">
        <f>YEAR(Employees_Tbl[[#This Row],[HIRE DATE]])</f>
        <v>2020</v>
      </c>
      <c r="H250" s="11" t="s">
        <v>217</v>
      </c>
      <c r="I250" s="11" t="s">
        <v>218</v>
      </c>
      <c r="J250" s="12">
        <v>30400</v>
      </c>
      <c r="K250" s="12">
        <v>1000</v>
      </c>
      <c r="L250" s="13">
        <v>0</v>
      </c>
      <c r="M250" s="13">
        <f>SUM(Employees_Tbl[[#This Row],[BASE SALARY]:[COMMISSION]])</f>
        <v>31400</v>
      </c>
      <c r="N250" s="11">
        <v>12</v>
      </c>
      <c r="O250" s="11">
        <v>7</v>
      </c>
      <c r="P250" s="11">
        <v>2</v>
      </c>
    </row>
    <row r="251" spans="1:16" x14ac:dyDescent="0.25">
      <c r="A251" s="11" t="s">
        <v>326</v>
      </c>
      <c r="B251" s="11" t="s">
        <v>97</v>
      </c>
      <c r="C251" s="11" t="s">
        <v>327</v>
      </c>
      <c r="D251" s="11" t="str">
        <f>Employees_Tbl[[#This Row],[LAST]] &amp;"." &amp; Employees_Tbl[[#This Row],[FIRST]]</f>
        <v>Rodriguez.Shawn</v>
      </c>
      <c r="E251" s="11" t="s">
        <v>16</v>
      </c>
      <c r="F251" s="14">
        <v>42145</v>
      </c>
      <c r="G251" s="25">
        <f>YEAR(Employees_Tbl[[#This Row],[HIRE DATE]])</f>
        <v>2015</v>
      </c>
      <c r="H251" s="11" t="s">
        <v>217</v>
      </c>
      <c r="I251" s="11" t="s">
        <v>218</v>
      </c>
      <c r="J251" s="12">
        <v>126200</v>
      </c>
      <c r="K251" s="12">
        <v>3500</v>
      </c>
      <c r="L251" s="13">
        <v>0</v>
      </c>
      <c r="M251" s="13">
        <f>SUM(Employees_Tbl[[#This Row],[BASE SALARY]:[COMMISSION]])</f>
        <v>129700</v>
      </c>
      <c r="N251" s="11">
        <v>11</v>
      </c>
      <c r="O251" s="11">
        <v>3</v>
      </c>
      <c r="P251" s="11">
        <v>3</v>
      </c>
    </row>
    <row r="252" spans="1:16" x14ac:dyDescent="0.25">
      <c r="A252" s="11" t="s">
        <v>395</v>
      </c>
      <c r="B252" s="11" t="s">
        <v>396</v>
      </c>
      <c r="C252" s="11" t="s">
        <v>397</v>
      </c>
      <c r="D252" s="11" t="str">
        <f>Employees_Tbl[[#This Row],[LAST]] &amp;"." &amp; Employees_Tbl[[#This Row],[FIRST]]</f>
        <v>Badger.Christie</v>
      </c>
      <c r="E252" s="11" t="s">
        <v>16</v>
      </c>
      <c r="F252" s="14">
        <v>42690</v>
      </c>
      <c r="G252" s="25">
        <f>YEAR(Employees_Tbl[[#This Row],[HIRE DATE]])</f>
        <v>2016</v>
      </c>
      <c r="H252" s="11" t="s">
        <v>217</v>
      </c>
      <c r="I252" s="11" t="s">
        <v>218</v>
      </c>
      <c r="J252" s="12">
        <v>104200</v>
      </c>
      <c r="K252" s="12">
        <v>3000</v>
      </c>
      <c r="L252" s="13">
        <v>0</v>
      </c>
      <c r="M252" s="13">
        <f>SUM(Employees_Tbl[[#This Row],[BASE SALARY]:[COMMISSION]])</f>
        <v>107200</v>
      </c>
      <c r="N252" s="11">
        <v>11</v>
      </c>
      <c r="O252" s="11">
        <v>6</v>
      </c>
      <c r="P252" s="11">
        <v>5</v>
      </c>
    </row>
    <row r="253" spans="1:16" x14ac:dyDescent="0.25">
      <c r="A253" s="11" t="s">
        <v>952</v>
      </c>
      <c r="B253" s="11" t="s">
        <v>953</v>
      </c>
      <c r="C253" s="11" t="s">
        <v>954</v>
      </c>
      <c r="D253" s="11" t="str">
        <f>Employees_Tbl[[#This Row],[LAST]] &amp;"." &amp; Employees_Tbl[[#This Row],[FIRST]]</f>
        <v>Shearer.Dianne</v>
      </c>
      <c r="E253" s="11" t="s">
        <v>16</v>
      </c>
      <c r="F253" s="14">
        <v>43498</v>
      </c>
      <c r="G253" s="25">
        <f>YEAR(Employees_Tbl[[#This Row],[HIRE DATE]])</f>
        <v>2019</v>
      </c>
      <c r="H253" s="11" t="s">
        <v>217</v>
      </c>
      <c r="I253" s="11" t="s">
        <v>218</v>
      </c>
      <c r="J253" s="12">
        <v>95200</v>
      </c>
      <c r="K253" s="12">
        <v>3000</v>
      </c>
      <c r="L253" s="13">
        <v>0</v>
      </c>
      <c r="M253" s="13">
        <f>SUM(Employees_Tbl[[#This Row],[BASE SALARY]:[COMMISSION]])</f>
        <v>98200</v>
      </c>
      <c r="N253" s="11">
        <v>16</v>
      </c>
      <c r="O253" s="11">
        <v>11</v>
      </c>
      <c r="P253" s="11">
        <v>4</v>
      </c>
    </row>
    <row r="254" spans="1:16" x14ac:dyDescent="0.25">
      <c r="A254" s="11" t="s">
        <v>1178</v>
      </c>
      <c r="B254" s="11" t="s">
        <v>134</v>
      </c>
      <c r="C254" s="11" t="s">
        <v>1179</v>
      </c>
      <c r="D254" s="11" t="str">
        <f>Employees_Tbl[[#This Row],[LAST]] &amp;"." &amp; Employees_Tbl[[#This Row],[FIRST]]</f>
        <v>Tallman.James</v>
      </c>
      <c r="E254" s="11" t="s">
        <v>16</v>
      </c>
      <c r="F254" s="14">
        <v>43906</v>
      </c>
      <c r="G254" s="25">
        <f>YEAR(Employees_Tbl[[#This Row],[HIRE DATE]])</f>
        <v>2020</v>
      </c>
      <c r="H254" s="11" t="s">
        <v>217</v>
      </c>
      <c r="I254" s="11" t="s">
        <v>218</v>
      </c>
      <c r="J254" s="12">
        <v>82000</v>
      </c>
      <c r="K254" s="12">
        <v>1500</v>
      </c>
      <c r="L254" s="13">
        <v>0</v>
      </c>
      <c r="M254" s="13">
        <f>SUM(Employees_Tbl[[#This Row],[BASE SALARY]:[COMMISSION]])</f>
        <v>83500</v>
      </c>
      <c r="N254" s="11">
        <v>10</v>
      </c>
      <c r="O254" s="11">
        <v>3</v>
      </c>
      <c r="P254" s="11">
        <v>5</v>
      </c>
    </row>
    <row r="255" spans="1:16" x14ac:dyDescent="0.25">
      <c r="A255" s="11" t="s">
        <v>1009</v>
      </c>
      <c r="B255" s="11" t="s">
        <v>324</v>
      </c>
      <c r="C255" s="11" t="s">
        <v>325</v>
      </c>
      <c r="D255" s="11" t="str">
        <f>Employees_Tbl[[#This Row],[LAST]] &amp;"." &amp; Employees_Tbl[[#This Row],[FIRST]]</f>
        <v>Schreiner.Susie</v>
      </c>
      <c r="E255" s="11" t="s">
        <v>16</v>
      </c>
      <c r="F255" s="14">
        <v>42023</v>
      </c>
      <c r="G255" s="25">
        <f>YEAR(Employees_Tbl[[#This Row],[HIRE DATE]])</f>
        <v>2015</v>
      </c>
      <c r="H255" s="11" t="s">
        <v>217</v>
      </c>
      <c r="I255" s="11" t="s">
        <v>218</v>
      </c>
      <c r="J255" s="12">
        <v>80300</v>
      </c>
      <c r="K255" s="12">
        <v>2000</v>
      </c>
      <c r="L255" s="13">
        <v>0</v>
      </c>
      <c r="M255" s="13">
        <f>SUM(Employees_Tbl[[#This Row],[BASE SALARY]:[COMMISSION]])</f>
        <v>82300</v>
      </c>
      <c r="N255" s="11">
        <v>16</v>
      </c>
      <c r="O255" s="11">
        <v>4</v>
      </c>
      <c r="P255" s="11">
        <v>5</v>
      </c>
    </row>
    <row r="256" spans="1:16" x14ac:dyDescent="0.25">
      <c r="A256" s="11" t="s">
        <v>1175</v>
      </c>
      <c r="B256" s="11" t="s">
        <v>1176</v>
      </c>
      <c r="C256" s="11" t="s">
        <v>1177</v>
      </c>
      <c r="D256" s="11" t="str">
        <f>Employees_Tbl[[#This Row],[LAST]] &amp;"." &amp; Employees_Tbl[[#This Row],[FIRST]]</f>
        <v>Carmichael.Kayla</v>
      </c>
      <c r="E256" s="11" t="s">
        <v>16</v>
      </c>
      <c r="F256" s="14">
        <v>44050</v>
      </c>
      <c r="G256" s="25">
        <f>YEAR(Employees_Tbl[[#This Row],[HIRE DATE]])</f>
        <v>2020</v>
      </c>
      <c r="H256" s="11" t="s">
        <v>217</v>
      </c>
      <c r="I256" s="11" t="s">
        <v>218</v>
      </c>
      <c r="J256" s="12">
        <v>74600</v>
      </c>
      <c r="K256" s="12">
        <v>2500</v>
      </c>
      <c r="L256" s="13">
        <v>0</v>
      </c>
      <c r="M256" s="13">
        <f>SUM(Employees_Tbl[[#This Row],[BASE SALARY]:[COMMISSION]])</f>
        <v>77100</v>
      </c>
      <c r="N256" s="11">
        <v>16</v>
      </c>
      <c r="O256" s="11">
        <v>9</v>
      </c>
      <c r="P256" s="11">
        <v>4</v>
      </c>
    </row>
    <row r="257" spans="1:16" x14ac:dyDescent="0.25">
      <c r="A257" s="11" t="s">
        <v>949</v>
      </c>
      <c r="B257" s="11" t="s">
        <v>950</v>
      </c>
      <c r="C257" s="11" t="s">
        <v>951</v>
      </c>
      <c r="D257" s="11" t="str">
        <f>Employees_Tbl[[#This Row],[LAST]] &amp;"." &amp; Employees_Tbl[[#This Row],[FIRST]]</f>
        <v>Behne.Tora</v>
      </c>
      <c r="E257" s="11" t="s">
        <v>16</v>
      </c>
      <c r="F257" s="14">
        <v>43573</v>
      </c>
      <c r="G257" s="25">
        <f>YEAR(Employees_Tbl[[#This Row],[HIRE DATE]])</f>
        <v>2019</v>
      </c>
      <c r="H257" s="11" t="s">
        <v>217</v>
      </c>
      <c r="I257" s="11" t="s">
        <v>218</v>
      </c>
      <c r="J257" s="12">
        <v>71500</v>
      </c>
      <c r="K257" s="12">
        <v>1500</v>
      </c>
      <c r="L257" s="13">
        <v>0</v>
      </c>
      <c r="M257" s="13">
        <f>SUM(Employees_Tbl[[#This Row],[BASE SALARY]:[COMMISSION]])</f>
        <v>73000</v>
      </c>
      <c r="N257" s="11">
        <v>15</v>
      </c>
      <c r="O257" s="11">
        <v>7</v>
      </c>
      <c r="P257" s="11">
        <v>3</v>
      </c>
    </row>
    <row r="258" spans="1:16" x14ac:dyDescent="0.25">
      <c r="A258" s="11" t="s">
        <v>790</v>
      </c>
      <c r="B258" s="11" t="s">
        <v>547</v>
      </c>
      <c r="C258" s="11" t="s">
        <v>791</v>
      </c>
      <c r="D258" s="11" t="str">
        <f>Employees_Tbl[[#This Row],[LAST]] &amp;"." &amp; Employees_Tbl[[#This Row],[FIRST]]</f>
        <v>Higbee.Frank</v>
      </c>
      <c r="E258" s="11" t="s">
        <v>16</v>
      </c>
      <c r="F258" s="14">
        <v>43112</v>
      </c>
      <c r="G258" s="25">
        <f>YEAR(Employees_Tbl[[#This Row],[HIRE DATE]])</f>
        <v>2018</v>
      </c>
      <c r="H258" s="11" t="s">
        <v>217</v>
      </c>
      <c r="I258" s="11" t="s">
        <v>218</v>
      </c>
      <c r="J258" s="12">
        <v>52300</v>
      </c>
      <c r="K258" s="12">
        <v>1500</v>
      </c>
      <c r="L258" s="13">
        <v>0</v>
      </c>
      <c r="M258" s="13">
        <f>SUM(Employees_Tbl[[#This Row],[BASE SALARY]:[COMMISSION]])</f>
        <v>53800</v>
      </c>
      <c r="N258" s="11">
        <v>18</v>
      </c>
      <c r="O258" s="11">
        <v>9</v>
      </c>
      <c r="P258" s="11">
        <v>3</v>
      </c>
    </row>
    <row r="259" spans="1:16" x14ac:dyDescent="0.25">
      <c r="A259" s="11" t="s">
        <v>1172</v>
      </c>
      <c r="B259" s="11" t="s">
        <v>1173</v>
      </c>
      <c r="C259" s="11" t="s">
        <v>1174</v>
      </c>
      <c r="D259" s="11" t="str">
        <f>Employees_Tbl[[#This Row],[LAST]] &amp;"." &amp; Employees_Tbl[[#This Row],[FIRST]]</f>
        <v>Burns.Stuart</v>
      </c>
      <c r="E259" s="11" t="s">
        <v>16</v>
      </c>
      <c r="F259" s="14">
        <v>43957</v>
      </c>
      <c r="G259" s="25">
        <f>YEAR(Employees_Tbl[[#This Row],[HIRE DATE]])</f>
        <v>2020</v>
      </c>
      <c r="H259" s="11" t="s">
        <v>217</v>
      </c>
      <c r="I259" s="11" t="s">
        <v>218</v>
      </c>
      <c r="J259" s="12">
        <v>44700</v>
      </c>
      <c r="K259" s="12">
        <v>1000</v>
      </c>
      <c r="L259" s="13">
        <v>0</v>
      </c>
      <c r="M259" s="13">
        <f>SUM(Employees_Tbl[[#This Row],[BASE SALARY]:[COMMISSION]])</f>
        <v>45700</v>
      </c>
      <c r="N259" s="11">
        <v>18</v>
      </c>
      <c r="O259" s="11">
        <v>12</v>
      </c>
      <c r="P259" s="11">
        <v>5</v>
      </c>
    </row>
    <row r="260" spans="1:16" x14ac:dyDescent="0.25">
      <c r="A260" s="11" t="s">
        <v>596</v>
      </c>
      <c r="B260" s="11" t="s">
        <v>597</v>
      </c>
      <c r="C260" s="11" t="s">
        <v>598</v>
      </c>
      <c r="D260" s="11" t="str">
        <f>Employees_Tbl[[#This Row],[LAST]] &amp;"." &amp; Employees_Tbl[[#This Row],[FIRST]]</f>
        <v>Alonzo.Edward</v>
      </c>
      <c r="E260" s="11" t="s">
        <v>16</v>
      </c>
      <c r="F260" s="14">
        <v>42887</v>
      </c>
      <c r="G260" s="25">
        <f>YEAR(Employees_Tbl[[#This Row],[HIRE DATE]])</f>
        <v>2017</v>
      </c>
      <c r="H260" s="11" t="s">
        <v>217</v>
      </c>
      <c r="I260" s="11" t="s">
        <v>218</v>
      </c>
      <c r="J260" s="12">
        <v>29100</v>
      </c>
      <c r="K260" s="12">
        <v>1000</v>
      </c>
      <c r="L260" s="13">
        <v>0</v>
      </c>
      <c r="M260" s="13">
        <f>SUM(Employees_Tbl[[#This Row],[BASE SALARY]:[COMMISSION]])</f>
        <v>30100</v>
      </c>
      <c r="N260" s="11">
        <v>13</v>
      </c>
      <c r="O260" s="11">
        <v>7</v>
      </c>
      <c r="P260" s="11">
        <v>5</v>
      </c>
    </row>
    <row r="261" spans="1:16" x14ac:dyDescent="0.25">
      <c r="A261" s="11" t="s">
        <v>1320</v>
      </c>
      <c r="B261" s="11" t="s">
        <v>599</v>
      </c>
      <c r="C261" s="11" t="s">
        <v>600</v>
      </c>
      <c r="D261" s="11" t="str">
        <f>Employees_Tbl[[#This Row],[LAST]] &amp;"." &amp; Employees_Tbl[[#This Row],[FIRST]]</f>
        <v>Boudreau.Courtney</v>
      </c>
      <c r="E261" s="11" t="s">
        <v>22</v>
      </c>
      <c r="F261" s="14">
        <v>42850</v>
      </c>
      <c r="G261" s="25">
        <f>YEAR(Employees_Tbl[[#This Row],[HIRE DATE]])</f>
        <v>2017</v>
      </c>
      <c r="H261" s="11" t="s">
        <v>217</v>
      </c>
      <c r="I261" s="11" t="s">
        <v>218</v>
      </c>
      <c r="J261" s="12">
        <v>53000</v>
      </c>
      <c r="K261" s="12">
        <v>1500</v>
      </c>
      <c r="L261" s="13">
        <v>0</v>
      </c>
      <c r="M261" s="13">
        <f>SUM(Employees_Tbl[[#This Row],[BASE SALARY]:[COMMISSION]])</f>
        <v>54500</v>
      </c>
      <c r="N261" s="11">
        <v>18</v>
      </c>
      <c r="O261" s="11">
        <v>11</v>
      </c>
      <c r="P261" s="11">
        <v>4</v>
      </c>
    </row>
    <row r="262" spans="1:16" x14ac:dyDescent="0.25">
      <c r="A262" s="11" t="s">
        <v>1183</v>
      </c>
      <c r="B262" s="11" t="s">
        <v>380</v>
      </c>
      <c r="C262" s="11" t="s">
        <v>1184</v>
      </c>
      <c r="D262" s="11" t="str">
        <f>Employees_Tbl[[#This Row],[LAST]] &amp;"." &amp; Employees_Tbl[[#This Row],[FIRST]]</f>
        <v>Hendricks.Terry</v>
      </c>
      <c r="E262" s="11" t="s">
        <v>22</v>
      </c>
      <c r="F262" s="14">
        <v>44037</v>
      </c>
      <c r="G262" s="25">
        <f>YEAR(Employees_Tbl[[#This Row],[HIRE DATE]])</f>
        <v>2020</v>
      </c>
      <c r="H262" s="11" t="s">
        <v>217</v>
      </c>
      <c r="I262" s="11" t="s">
        <v>218</v>
      </c>
      <c r="J262" s="12">
        <v>51600</v>
      </c>
      <c r="K262" s="12">
        <v>1000</v>
      </c>
      <c r="L262" s="13">
        <v>0</v>
      </c>
      <c r="M262" s="13">
        <f>SUM(Employees_Tbl[[#This Row],[BASE SALARY]:[COMMISSION]])</f>
        <v>52600</v>
      </c>
      <c r="N262" s="11">
        <v>13</v>
      </c>
      <c r="O262" s="11">
        <v>7</v>
      </c>
      <c r="P262" s="11">
        <v>3</v>
      </c>
    </row>
    <row r="263" spans="1:16" x14ac:dyDescent="0.25">
      <c r="A263" s="11" t="s">
        <v>792</v>
      </c>
      <c r="B263" s="11" t="s">
        <v>793</v>
      </c>
      <c r="C263" s="11" t="s">
        <v>794</v>
      </c>
      <c r="D263" s="11" t="str">
        <f>Employees_Tbl[[#This Row],[LAST]] &amp;"." &amp; Employees_Tbl[[#This Row],[FIRST]]</f>
        <v>Price.Randolph</v>
      </c>
      <c r="E263" s="11" t="s">
        <v>22</v>
      </c>
      <c r="F263" s="14">
        <v>43188</v>
      </c>
      <c r="G263" s="25">
        <f>YEAR(Employees_Tbl[[#This Row],[HIRE DATE]])</f>
        <v>2018</v>
      </c>
      <c r="H263" s="11" t="s">
        <v>217</v>
      </c>
      <c r="I263" s="11" t="s">
        <v>218</v>
      </c>
      <c r="J263" s="12">
        <v>38600</v>
      </c>
      <c r="K263" s="12">
        <v>1500</v>
      </c>
      <c r="L263" s="13">
        <v>0</v>
      </c>
      <c r="M263" s="13">
        <f>SUM(Employees_Tbl[[#This Row],[BASE SALARY]:[COMMISSION]])</f>
        <v>40100</v>
      </c>
      <c r="N263" s="11">
        <v>18</v>
      </c>
      <c r="O263" s="11">
        <v>6</v>
      </c>
      <c r="P263" s="11">
        <v>3</v>
      </c>
    </row>
    <row r="264" spans="1:16" x14ac:dyDescent="0.25">
      <c r="A264" s="11" t="s">
        <v>398</v>
      </c>
      <c r="B264" s="11" t="s">
        <v>399</v>
      </c>
      <c r="C264" s="11" t="s">
        <v>400</v>
      </c>
      <c r="D264" s="11" t="str">
        <f>Employees_Tbl[[#This Row],[LAST]] &amp;"." &amp; Employees_Tbl[[#This Row],[FIRST]]</f>
        <v>Catanzaro.Ollie</v>
      </c>
      <c r="E264" s="11" t="s">
        <v>22</v>
      </c>
      <c r="F264" s="14">
        <v>42532</v>
      </c>
      <c r="G264" s="25">
        <f>YEAR(Employees_Tbl[[#This Row],[HIRE DATE]])</f>
        <v>2016</v>
      </c>
      <c r="H264" s="11" t="s">
        <v>217</v>
      </c>
      <c r="I264" s="11" t="s">
        <v>218</v>
      </c>
      <c r="J264" s="12">
        <v>38300</v>
      </c>
      <c r="K264" s="12">
        <v>1000</v>
      </c>
      <c r="L264" s="13">
        <v>0</v>
      </c>
      <c r="M264" s="13">
        <f>SUM(Employees_Tbl[[#This Row],[BASE SALARY]:[COMMISSION]])</f>
        <v>39300</v>
      </c>
      <c r="N264" s="11">
        <v>16</v>
      </c>
      <c r="O264" s="11">
        <v>5</v>
      </c>
      <c r="P264" s="11">
        <v>4</v>
      </c>
    </row>
    <row r="265" spans="1:16" x14ac:dyDescent="0.25">
      <c r="A265" s="11" t="s">
        <v>957</v>
      </c>
      <c r="B265" s="11" t="s">
        <v>958</v>
      </c>
      <c r="C265" s="11" t="s">
        <v>959</v>
      </c>
      <c r="D265" s="11" t="str">
        <f>Employees_Tbl[[#This Row],[LAST]] &amp;"." &amp; Employees_Tbl[[#This Row],[FIRST]]</f>
        <v>Byers.Norman</v>
      </c>
      <c r="E265" s="11" t="s">
        <v>22</v>
      </c>
      <c r="F265" s="14">
        <v>43817</v>
      </c>
      <c r="G265" s="25">
        <f>YEAR(Employees_Tbl[[#This Row],[HIRE DATE]])</f>
        <v>2019</v>
      </c>
      <c r="H265" s="11" t="s">
        <v>217</v>
      </c>
      <c r="I265" s="11" t="s">
        <v>218</v>
      </c>
      <c r="J265" s="12">
        <v>33600</v>
      </c>
      <c r="K265" s="12">
        <v>1000</v>
      </c>
      <c r="L265" s="13">
        <v>0</v>
      </c>
      <c r="M265" s="13">
        <f>SUM(Employees_Tbl[[#This Row],[BASE SALARY]:[COMMISSION]])</f>
        <v>34600</v>
      </c>
      <c r="N265" s="11">
        <v>12</v>
      </c>
      <c r="O265" s="11">
        <v>11</v>
      </c>
      <c r="P265" s="11">
        <v>5</v>
      </c>
    </row>
    <row r="266" spans="1:16" x14ac:dyDescent="0.25">
      <c r="A266" s="11" t="s">
        <v>1180</v>
      </c>
      <c r="B266" s="11" t="s">
        <v>1181</v>
      </c>
      <c r="C266" s="11" t="s">
        <v>1182</v>
      </c>
      <c r="D266" s="11" t="str">
        <f>Employees_Tbl[[#This Row],[LAST]] &amp;"." &amp; Employees_Tbl[[#This Row],[FIRST]]</f>
        <v>Hicks.Elmer</v>
      </c>
      <c r="E266" s="11" t="s">
        <v>22</v>
      </c>
      <c r="F266" s="14">
        <v>43884</v>
      </c>
      <c r="G266" s="25">
        <f>YEAR(Employees_Tbl[[#This Row],[HIRE DATE]])</f>
        <v>2020</v>
      </c>
      <c r="H266" s="11" t="s">
        <v>217</v>
      </c>
      <c r="I266" s="11" t="s">
        <v>218</v>
      </c>
      <c r="J266" s="12">
        <v>33400</v>
      </c>
      <c r="K266" s="12">
        <v>1000</v>
      </c>
      <c r="L266" s="13">
        <v>0</v>
      </c>
      <c r="M266" s="13">
        <f>SUM(Employees_Tbl[[#This Row],[BASE SALARY]:[COMMISSION]])</f>
        <v>34400</v>
      </c>
      <c r="N266" s="11">
        <v>18</v>
      </c>
      <c r="O266" s="11">
        <v>8</v>
      </c>
      <c r="P266" s="11">
        <v>5</v>
      </c>
    </row>
    <row r="267" spans="1:16" x14ac:dyDescent="0.25">
      <c r="A267" s="11" t="s">
        <v>955</v>
      </c>
      <c r="B267" s="11" t="s">
        <v>687</v>
      </c>
      <c r="C267" s="11" t="s">
        <v>956</v>
      </c>
      <c r="D267" s="11" t="str">
        <f>Employees_Tbl[[#This Row],[LAST]] &amp;"." &amp; Employees_Tbl[[#This Row],[FIRST]]</f>
        <v>Prejean.Jennifer</v>
      </c>
      <c r="E267" s="11" t="s">
        <v>22</v>
      </c>
      <c r="F267" s="14">
        <v>43718</v>
      </c>
      <c r="G267" s="25">
        <f>YEAR(Employees_Tbl[[#This Row],[HIRE DATE]])</f>
        <v>2019</v>
      </c>
      <c r="H267" s="11" t="s">
        <v>217</v>
      </c>
      <c r="I267" s="11" t="s">
        <v>218</v>
      </c>
      <c r="J267" s="12">
        <v>32100</v>
      </c>
      <c r="K267" s="12">
        <v>500</v>
      </c>
      <c r="L267" s="13">
        <v>0</v>
      </c>
      <c r="M267" s="13">
        <f>SUM(Employees_Tbl[[#This Row],[BASE SALARY]:[COMMISSION]])</f>
        <v>32600</v>
      </c>
      <c r="N267" s="11">
        <v>13</v>
      </c>
      <c r="O267" s="11">
        <v>3</v>
      </c>
      <c r="P267" s="11">
        <v>4</v>
      </c>
    </row>
    <row r="268" spans="1:16" x14ac:dyDescent="0.25">
      <c r="A268" s="11" t="s">
        <v>407</v>
      </c>
      <c r="B268" s="11" t="s">
        <v>408</v>
      </c>
      <c r="C268" s="11" t="s">
        <v>409</v>
      </c>
      <c r="D268" s="11" t="str">
        <f>Employees_Tbl[[#This Row],[LAST]] &amp;"." &amp; Employees_Tbl[[#This Row],[FIRST]]</f>
        <v>Beck.Melody</v>
      </c>
      <c r="E268" s="11" t="s">
        <v>26</v>
      </c>
      <c r="F268" s="14">
        <v>42391</v>
      </c>
      <c r="G268" s="25">
        <f>YEAR(Employees_Tbl[[#This Row],[HIRE DATE]])</f>
        <v>2016</v>
      </c>
      <c r="H268" s="11" t="s">
        <v>217</v>
      </c>
      <c r="I268" s="11" t="s">
        <v>218</v>
      </c>
      <c r="J268" s="12">
        <v>97800</v>
      </c>
      <c r="K268" s="12">
        <v>3000</v>
      </c>
      <c r="L268" s="13">
        <v>0</v>
      </c>
      <c r="M268" s="13">
        <f>SUM(Employees_Tbl[[#This Row],[BASE SALARY]:[COMMISSION]])</f>
        <v>100800</v>
      </c>
      <c r="N268" s="11">
        <v>11</v>
      </c>
      <c r="O268" s="11">
        <v>6</v>
      </c>
      <c r="P268" s="11">
        <v>4</v>
      </c>
    </row>
    <row r="269" spans="1:16" x14ac:dyDescent="0.25">
      <c r="A269" s="11" t="s">
        <v>611</v>
      </c>
      <c r="B269" s="11" t="s">
        <v>471</v>
      </c>
      <c r="C269" s="11" t="s">
        <v>373</v>
      </c>
      <c r="D269" s="11" t="str">
        <f>Employees_Tbl[[#This Row],[LAST]] &amp;"." &amp; Employees_Tbl[[#This Row],[FIRST]]</f>
        <v>Martin.Paula</v>
      </c>
      <c r="E269" s="11" t="s">
        <v>26</v>
      </c>
      <c r="F269" s="14">
        <v>42826</v>
      </c>
      <c r="G269" s="25">
        <f>YEAR(Employees_Tbl[[#This Row],[HIRE DATE]])</f>
        <v>2017</v>
      </c>
      <c r="H269" s="11" t="s">
        <v>217</v>
      </c>
      <c r="I269" s="11" t="s">
        <v>218</v>
      </c>
      <c r="J269" s="12">
        <v>92000</v>
      </c>
      <c r="K269" s="12">
        <v>2500</v>
      </c>
      <c r="L269" s="13">
        <v>0</v>
      </c>
      <c r="M269" s="13">
        <f>SUM(Employees_Tbl[[#This Row],[BASE SALARY]:[COMMISSION]])</f>
        <v>94500</v>
      </c>
      <c r="N269" s="11">
        <v>14</v>
      </c>
      <c r="O269" s="11">
        <v>3</v>
      </c>
      <c r="P269" s="11">
        <v>4</v>
      </c>
    </row>
    <row r="270" spans="1:16" x14ac:dyDescent="0.25">
      <c r="A270" s="11" t="s">
        <v>806</v>
      </c>
      <c r="B270" s="11" t="s">
        <v>204</v>
      </c>
      <c r="C270" s="11" t="s">
        <v>807</v>
      </c>
      <c r="D270" s="11" t="str">
        <f>Employees_Tbl[[#This Row],[LAST]] &amp;"." &amp; Employees_Tbl[[#This Row],[FIRST]]</f>
        <v>Mcswain.Richard</v>
      </c>
      <c r="E270" s="11" t="s">
        <v>26</v>
      </c>
      <c r="F270" s="14">
        <v>43439</v>
      </c>
      <c r="G270" s="25">
        <f>YEAR(Employees_Tbl[[#This Row],[HIRE DATE]])</f>
        <v>2018</v>
      </c>
      <c r="H270" s="11" t="s">
        <v>217</v>
      </c>
      <c r="I270" s="11" t="s">
        <v>218</v>
      </c>
      <c r="J270" s="12">
        <v>89300</v>
      </c>
      <c r="K270" s="12">
        <v>4000</v>
      </c>
      <c r="L270" s="13">
        <v>0</v>
      </c>
      <c r="M270" s="13">
        <f>SUM(Employees_Tbl[[#This Row],[BASE SALARY]:[COMMISSION]])</f>
        <v>93300</v>
      </c>
      <c r="N270" s="11">
        <v>11</v>
      </c>
      <c r="O270" s="11">
        <v>3</v>
      </c>
      <c r="P270" s="11">
        <v>4</v>
      </c>
    </row>
    <row r="271" spans="1:16" x14ac:dyDescent="0.25">
      <c r="A271" s="11" t="s">
        <v>405</v>
      </c>
      <c r="B271" s="11" t="s">
        <v>28</v>
      </c>
      <c r="C271" s="11" t="s">
        <v>406</v>
      </c>
      <c r="D271" s="11" t="str">
        <f>Employees_Tbl[[#This Row],[LAST]] &amp;"." &amp; Employees_Tbl[[#This Row],[FIRST]]</f>
        <v>Reynolds.Jeffery</v>
      </c>
      <c r="E271" s="11" t="s">
        <v>26</v>
      </c>
      <c r="F271" s="14">
        <v>42687</v>
      </c>
      <c r="G271" s="25">
        <f>YEAR(Employees_Tbl[[#This Row],[HIRE DATE]])</f>
        <v>2016</v>
      </c>
      <c r="H271" s="11" t="s">
        <v>217</v>
      </c>
      <c r="I271" s="11" t="s">
        <v>218</v>
      </c>
      <c r="J271" s="12">
        <v>79900</v>
      </c>
      <c r="K271" s="12">
        <v>2000</v>
      </c>
      <c r="L271" s="13">
        <v>0</v>
      </c>
      <c r="M271" s="13">
        <f>SUM(Employees_Tbl[[#This Row],[BASE SALARY]:[COMMISSION]])</f>
        <v>81900</v>
      </c>
      <c r="N271" s="11">
        <v>10</v>
      </c>
      <c r="O271" s="11">
        <v>5</v>
      </c>
      <c r="P271" s="11">
        <v>4</v>
      </c>
    </row>
    <row r="272" spans="1:16" x14ac:dyDescent="0.25">
      <c r="A272" s="11" t="s">
        <v>803</v>
      </c>
      <c r="B272" s="11" t="s">
        <v>804</v>
      </c>
      <c r="C272" s="11" t="s">
        <v>805</v>
      </c>
      <c r="D272" s="11" t="str">
        <f>Employees_Tbl[[#This Row],[LAST]] &amp;"." &amp; Employees_Tbl[[#This Row],[FIRST]]</f>
        <v>Brownlee.Trevor</v>
      </c>
      <c r="E272" s="11" t="s">
        <v>26</v>
      </c>
      <c r="F272" s="14">
        <v>43142</v>
      </c>
      <c r="G272" s="25">
        <f>YEAR(Employees_Tbl[[#This Row],[HIRE DATE]])</f>
        <v>2018</v>
      </c>
      <c r="H272" s="11" t="s">
        <v>217</v>
      </c>
      <c r="I272" s="11" t="s">
        <v>218</v>
      </c>
      <c r="J272" s="12">
        <v>78000</v>
      </c>
      <c r="K272" s="12">
        <v>2000</v>
      </c>
      <c r="L272" s="13">
        <v>0</v>
      </c>
      <c r="M272" s="13">
        <f>SUM(Employees_Tbl[[#This Row],[BASE SALARY]:[COMMISSION]])</f>
        <v>80000</v>
      </c>
      <c r="N272" s="11">
        <v>12</v>
      </c>
      <c r="O272" s="11">
        <v>5</v>
      </c>
      <c r="P272" s="11">
        <v>4</v>
      </c>
    </row>
    <row r="273" spans="1:16" x14ac:dyDescent="0.25">
      <c r="A273" s="11" t="s">
        <v>800</v>
      </c>
      <c r="B273" s="11" t="s">
        <v>801</v>
      </c>
      <c r="C273" s="11" t="s">
        <v>802</v>
      </c>
      <c r="D273" s="11" t="str">
        <f>Employees_Tbl[[#This Row],[LAST]] &amp;"." &amp; Employees_Tbl[[#This Row],[FIRST]]</f>
        <v>Forbes.Jeremy</v>
      </c>
      <c r="E273" s="11" t="s">
        <v>26</v>
      </c>
      <c r="F273" s="14">
        <v>43416</v>
      </c>
      <c r="G273" s="25">
        <f>YEAR(Employees_Tbl[[#This Row],[HIRE DATE]])</f>
        <v>2018</v>
      </c>
      <c r="H273" s="11" t="s">
        <v>217</v>
      </c>
      <c r="I273" s="11" t="s">
        <v>218</v>
      </c>
      <c r="J273" s="12">
        <v>72400</v>
      </c>
      <c r="K273" s="12">
        <v>1500</v>
      </c>
      <c r="L273" s="13">
        <v>0</v>
      </c>
      <c r="M273" s="13">
        <f>SUM(Employees_Tbl[[#This Row],[BASE SALARY]:[COMMISSION]])</f>
        <v>73900</v>
      </c>
      <c r="N273" s="11">
        <v>15</v>
      </c>
      <c r="O273" s="11">
        <v>5</v>
      </c>
      <c r="P273" s="11">
        <v>3</v>
      </c>
    </row>
    <row r="274" spans="1:16" x14ac:dyDescent="0.25">
      <c r="A274" s="11" t="s">
        <v>328</v>
      </c>
      <c r="B274" s="11" t="s">
        <v>91</v>
      </c>
      <c r="C274" s="11" t="s">
        <v>329</v>
      </c>
      <c r="D274" s="11" t="str">
        <f>Employees_Tbl[[#This Row],[LAST]] &amp;"." &amp; Employees_Tbl[[#This Row],[FIRST]]</f>
        <v>Mcelhannon.Robert</v>
      </c>
      <c r="E274" s="11" t="s">
        <v>26</v>
      </c>
      <c r="F274" s="14">
        <v>42121</v>
      </c>
      <c r="G274" s="25">
        <f>YEAR(Employees_Tbl[[#This Row],[HIRE DATE]])</f>
        <v>2015</v>
      </c>
      <c r="H274" s="11" t="s">
        <v>217</v>
      </c>
      <c r="I274" s="11" t="s">
        <v>218</v>
      </c>
      <c r="J274" s="12">
        <v>70000</v>
      </c>
      <c r="K274" s="12">
        <v>2500</v>
      </c>
      <c r="L274" s="13">
        <v>0</v>
      </c>
      <c r="M274" s="13">
        <f>SUM(Employees_Tbl[[#This Row],[BASE SALARY]:[COMMISSION]])</f>
        <v>72500</v>
      </c>
      <c r="N274" s="11">
        <v>13</v>
      </c>
      <c r="O274" s="11">
        <v>6</v>
      </c>
      <c r="P274" s="11">
        <v>4</v>
      </c>
    </row>
    <row r="275" spans="1:16" x14ac:dyDescent="0.25">
      <c r="A275" s="11" t="s">
        <v>330</v>
      </c>
      <c r="B275" s="11" t="s">
        <v>331</v>
      </c>
      <c r="C275" s="11" t="s">
        <v>332</v>
      </c>
      <c r="D275" s="11" t="str">
        <f>Employees_Tbl[[#This Row],[LAST]] &amp;"." &amp; Employees_Tbl[[#This Row],[FIRST]]</f>
        <v>Zimmerman.Donna</v>
      </c>
      <c r="E275" s="11" t="s">
        <v>26</v>
      </c>
      <c r="F275" s="14">
        <v>42236</v>
      </c>
      <c r="G275" s="25">
        <f>YEAR(Employees_Tbl[[#This Row],[HIRE DATE]])</f>
        <v>2015</v>
      </c>
      <c r="H275" s="11" t="s">
        <v>217</v>
      </c>
      <c r="I275" s="11" t="s">
        <v>218</v>
      </c>
      <c r="J275" s="12">
        <v>68800</v>
      </c>
      <c r="K275" s="12">
        <v>2000</v>
      </c>
      <c r="L275" s="13">
        <v>0</v>
      </c>
      <c r="M275" s="13">
        <f>SUM(Employees_Tbl[[#This Row],[BASE SALARY]:[COMMISSION]])</f>
        <v>70800</v>
      </c>
      <c r="N275" s="11">
        <v>13</v>
      </c>
      <c r="O275" s="11">
        <v>8</v>
      </c>
      <c r="P275" s="11">
        <v>5</v>
      </c>
    </row>
    <row r="276" spans="1:16" x14ac:dyDescent="0.25">
      <c r="A276" s="11" t="s">
        <v>1185</v>
      </c>
      <c r="B276" s="11" t="s">
        <v>1186</v>
      </c>
      <c r="C276" s="11" t="s">
        <v>1187</v>
      </c>
      <c r="D276" s="11" t="str">
        <f>Employees_Tbl[[#This Row],[LAST]] &amp;"." &amp; Employees_Tbl[[#This Row],[FIRST]]</f>
        <v>Hayes.Viola</v>
      </c>
      <c r="E276" s="11" t="s">
        <v>26</v>
      </c>
      <c r="F276" s="14">
        <v>44025</v>
      </c>
      <c r="G276" s="25">
        <f>YEAR(Employees_Tbl[[#This Row],[HIRE DATE]])</f>
        <v>2020</v>
      </c>
      <c r="H276" s="11" t="s">
        <v>217</v>
      </c>
      <c r="I276" s="11" t="s">
        <v>218</v>
      </c>
      <c r="J276" s="12">
        <v>68000</v>
      </c>
      <c r="K276" s="12">
        <v>3000</v>
      </c>
      <c r="L276" s="13">
        <v>0</v>
      </c>
      <c r="M276" s="13">
        <f>SUM(Employees_Tbl[[#This Row],[BASE SALARY]:[COMMISSION]])</f>
        <v>71000</v>
      </c>
      <c r="N276" s="11">
        <v>10</v>
      </c>
      <c r="O276" s="11">
        <v>12</v>
      </c>
      <c r="P276" s="11">
        <v>2</v>
      </c>
    </row>
    <row r="277" spans="1:16" x14ac:dyDescent="0.25">
      <c r="A277" s="11" t="s">
        <v>606</v>
      </c>
      <c r="B277" s="11" t="s">
        <v>204</v>
      </c>
      <c r="C277" s="11" t="s">
        <v>607</v>
      </c>
      <c r="D277" s="11" t="str">
        <f>Employees_Tbl[[#This Row],[LAST]] &amp;"." &amp; Employees_Tbl[[#This Row],[FIRST]]</f>
        <v>Hodo.Richard</v>
      </c>
      <c r="E277" s="11" t="s">
        <v>26</v>
      </c>
      <c r="F277" s="14">
        <v>42995</v>
      </c>
      <c r="G277" s="25">
        <f>YEAR(Employees_Tbl[[#This Row],[HIRE DATE]])</f>
        <v>2017</v>
      </c>
      <c r="H277" s="11" t="s">
        <v>217</v>
      </c>
      <c r="I277" s="11" t="s">
        <v>218</v>
      </c>
      <c r="J277" s="12">
        <v>67400</v>
      </c>
      <c r="K277" s="12">
        <v>2000</v>
      </c>
      <c r="L277" s="13">
        <v>0</v>
      </c>
      <c r="M277" s="13">
        <f>SUM(Employees_Tbl[[#This Row],[BASE SALARY]:[COMMISSION]])</f>
        <v>69400</v>
      </c>
      <c r="N277" s="11">
        <v>16</v>
      </c>
      <c r="O277" s="11">
        <v>3</v>
      </c>
      <c r="P277" s="11">
        <v>3</v>
      </c>
    </row>
    <row r="278" spans="1:16" x14ac:dyDescent="0.25">
      <c r="A278" s="11" t="s">
        <v>608</v>
      </c>
      <c r="B278" s="11" t="s">
        <v>609</v>
      </c>
      <c r="C278" s="11" t="s">
        <v>610</v>
      </c>
      <c r="D278" s="11" t="str">
        <f>Employees_Tbl[[#This Row],[LAST]] &amp;"." &amp; Employees_Tbl[[#This Row],[FIRST]]</f>
        <v>Hickey.Luba</v>
      </c>
      <c r="E278" s="11" t="s">
        <v>26</v>
      </c>
      <c r="F278" s="14">
        <v>42873</v>
      </c>
      <c r="G278" s="25">
        <f>YEAR(Employees_Tbl[[#This Row],[HIRE DATE]])</f>
        <v>2017</v>
      </c>
      <c r="H278" s="11" t="s">
        <v>217</v>
      </c>
      <c r="I278" s="11" t="s">
        <v>218</v>
      </c>
      <c r="J278" s="12">
        <v>67200</v>
      </c>
      <c r="K278" s="12">
        <v>1500</v>
      </c>
      <c r="L278" s="13">
        <v>0</v>
      </c>
      <c r="M278" s="13">
        <f>SUM(Employees_Tbl[[#This Row],[BASE SALARY]:[COMMISSION]])</f>
        <v>68700</v>
      </c>
      <c r="N278" s="11">
        <v>14</v>
      </c>
      <c r="O278" s="11">
        <v>4</v>
      </c>
      <c r="P278" s="11">
        <v>5</v>
      </c>
    </row>
    <row r="279" spans="1:16" x14ac:dyDescent="0.25">
      <c r="A279" s="11" t="s">
        <v>797</v>
      </c>
      <c r="B279" s="11" t="s">
        <v>798</v>
      </c>
      <c r="C279" s="11" t="s">
        <v>799</v>
      </c>
      <c r="D279" s="11" t="str">
        <f>Employees_Tbl[[#This Row],[LAST]] &amp;"." &amp; Employees_Tbl[[#This Row],[FIRST]]</f>
        <v>Moss.Angela</v>
      </c>
      <c r="E279" s="11" t="s">
        <v>26</v>
      </c>
      <c r="F279" s="14">
        <v>43170</v>
      </c>
      <c r="G279" s="25">
        <f>YEAR(Employees_Tbl[[#This Row],[HIRE DATE]])</f>
        <v>2018</v>
      </c>
      <c r="H279" s="11" t="s">
        <v>217</v>
      </c>
      <c r="I279" s="11" t="s">
        <v>218</v>
      </c>
      <c r="J279" s="12">
        <v>59400</v>
      </c>
      <c r="K279" s="12">
        <v>1500</v>
      </c>
      <c r="L279" s="13">
        <v>0</v>
      </c>
      <c r="M279" s="13">
        <f>SUM(Employees_Tbl[[#This Row],[BASE SALARY]:[COMMISSION]])</f>
        <v>60900</v>
      </c>
      <c r="N279" s="11">
        <v>15</v>
      </c>
      <c r="O279" s="11">
        <v>10</v>
      </c>
      <c r="P279" s="11">
        <v>5</v>
      </c>
    </row>
    <row r="280" spans="1:16" x14ac:dyDescent="0.25">
      <c r="A280" s="11" t="s">
        <v>403</v>
      </c>
      <c r="B280" s="11" t="s">
        <v>268</v>
      </c>
      <c r="C280" s="11" t="s">
        <v>404</v>
      </c>
      <c r="D280" s="11" t="str">
        <f>Employees_Tbl[[#This Row],[LAST]] &amp;"." &amp; Employees_Tbl[[#This Row],[FIRST]]</f>
        <v>Fields.David</v>
      </c>
      <c r="E280" s="11" t="s">
        <v>26</v>
      </c>
      <c r="F280" s="14">
        <v>42383</v>
      </c>
      <c r="G280" s="25">
        <f>YEAR(Employees_Tbl[[#This Row],[HIRE DATE]])</f>
        <v>2016</v>
      </c>
      <c r="H280" s="11" t="s">
        <v>217</v>
      </c>
      <c r="I280" s="11" t="s">
        <v>218</v>
      </c>
      <c r="J280" s="12">
        <v>56400</v>
      </c>
      <c r="K280" s="12">
        <v>2000</v>
      </c>
      <c r="L280" s="13">
        <v>0</v>
      </c>
      <c r="M280" s="13">
        <f>SUM(Employees_Tbl[[#This Row],[BASE SALARY]:[COMMISSION]])</f>
        <v>58400</v>
      </c>
      <c r="N280" s="11">
        <v>10</v>
      </c>
      <c r="O280" s="11">
        <v>2</v>
      </c>
      <c r="P280" s="11">
        <v>3</v>
      </c>
    </row>
    <row r="281" spans="1:16" x14ac:dyDescent="0.25">
      <c r="A281" s="11" t="s">
        <v>401</v>
      </c>
      <c r="B281" s="11" t="s">
        <v>297</v>
      </c>
      <c r="C281" s="11" t="s">
        <v>402</v>
      </c>
      <c r="D281" s="11" t="str">
        <f>Employees_Tbl[[#This Row],[LAST]] &amp;"." &amp; Employees_Tbl[[#This Row],[FIRST]]</f>
        <v>Griffin.Aaron</v>
      </c>
      <c r="E281" s="11" t="s">
        <v>26</v>
      </c>
      <c r="F281" s="14">
        <v>42625</v>
      </c>
      <c r="G281" s="25">
        <f>YEAR(Employees_Tbl[[#This Row],[HIRE DATE]])</f>
        <v>2016</v>
      </c>
      <c r="H281" s="11" t="s">
        <v>217</v>
      </c>
      <c r="I281" s="11" t="s">
        <v>218</v>
      </c>
      <c r="J281" s="12">
        <v>48300</v>
      </c>
      <c r="K281" s="12">
        <v>1500</v>
      </c>
      <c r="L281" s="13">
        <v>0</v>
      </c>
      <c r="M281" s="13">
        <f>SUM(Employees_Tbl[[#This Row],[BASE SALARY]:[COMMISSION]])</f>
        <v>49800</v>
      </c>
      <c r="N281" s="11">
        <v>12</v>
      </c>
      <c r="O281" s="11">
        <v>4</v>
      </c>
      <c r="P281" s="11">
        <v>5</v>
      </c>
    </row>
    <row r="282" spans="1:16" x14ac:dyDescent="0.25">
      <c r="A282" s="11" t="s">
        <v>604</v>
      </c>
      <c r="B282" s="11" t="s">
        <v>171</v>
      </c>
      <c r="C282" s="11" t="s">
        <v>605</v>
      </c>
      <c r="D282" s="11" t="str">
        <f>Employees_Tbl[[#This Row],[LAST]] &amp;"." &amp; Employees_Tbl[[#This Row],[FIRST]]</f>
        <v>Flores.Isabel</v>
      </c>
      <c r="E282" s="11" t="s">
        <v>26</v>
      </c>
      <c r="F282" s="14">
        <v>42931</v>
      </c>
      <c r="G282" s="25">
        <f>YEAR(Employees_Tbl[[#This Row],[HIRE DATE]])</f>
        <v>2017</v>
      </c>
      <c r="H282" s="11" t="s">
        <v>217</v>
      </c>
      <c r="I282" s="11" t="s">
        <v>218</v>
      </c>
      <c r="J282" s="12">
        <v>44700</v>
      </c>
      <c r="K282" s="12">
        <v>1000</v>
      </c>
      <c r="L282" s="13">
        <v>0</v>
      </c>
      <c r="M282" s="13">
        <f>SUM(Employees_Tbl[[#This Row],[BASE SALARY]:[COMMISSION]])</f>
        <v>45700</v>
      </c>
      <c r="N282" s="11">
        <v>11</v>
      </c>
      <c r="O282" s="11">
        <v>9</v>
      </c>
      <c r="P282" s="11">
        <v>3</v>
      </c>
    </row>
    <row r="283" spans="1:16" x14ac:dyDescent="0.25">
      <c r="A283" s="11" t="s">
        <v>960</v>
      </c>
      <c r="B283" s="11" t="s">
        <v>961</v>
      </c>
      <c r="C283" s="11" t="s">
        <v>962</v>
      </c>
      <c r="D283" s="11" t="str">
        <f>Employees_Tbl[[#This Row],[LAST]] &amp;"." &amp; Employees_Tbl[[#This Row],[FIRST]]</f>
        <v>Graziano.Tracy</v>
      </c>
      <c r="E283" s="11" t="s">
        <v>26</v>
      </c>
      <c r="F283" s="14">
        <v>43664</v>
      </c>
      <c r="G283" s="25">
        <f>YEAR(Employees_Tbl[[#This Row],[HIRE DATE]])</f>
        <v>2019</v>
      </c>
      <c r="H283" s="11" t="s">
        <v>217</v>
      </c>
      <c r="I283" s="11" t="s">
        <v>218</v>
      </c>
      <c r="J283" s="12">
        <v>31200</v>
      </c>
      <c r="K283" s="12">
        <v>1000</v>
      </c>
      <c r="L283" s="13">
        <v>0</v>
      </c>
      <c r="M283" s="13">
        <f>SUM(Employees_Tbl[[#This Row],[BASE SALARY]:[COMMISSION]])</f>
        <v>32200</v>
      </c>
      <c r="N283" s="11">
        <v>11</v>
      </c>
      <c r="O283" s="11">
        <v>8</v>
      </c>
      <c r="P283" s="11">
        <v>2</v>
      </c>
    </row>
    <row r="284" spans="1:16" x14ac:dyDescent="0.25">
      <c r="A284" s="11" t="s">
        <v>795</v>
      </c>
      <c r="B284" s="11" t="s">
        <v>579</v>
      </c>
      <c r="C284" s="11" t="s">
        <v>796</v>
      </c>
      <c r="D284" s="11" t="str">
        <f>Employees_Tbl[[#This Row],[LAST]] &amp;"." &amp; Employees_Tbl[[#This Row],[FIRST]]</f>
        <v>Loyd.Cynthia</v>
      </c>
      <c r="E284" s="11" t="s">
        <v>26</v>
      </c>
      <c r="F284" s="14">
        <v>43464</v>
      </c>
      <c r="G284" s="25">
        <f>YEAR(Employees_Tbl[[#This Row],[HIRE DATE]])</f>
        <v>2018</v>
      </c>
      <c r="H284" s="11" t="s">
        <v>217</v>
      </c>
      <c r="I284" s="11" t="s">
        <v>218</v>
      </c>
      <c r="J284" s="12">
        <v>29600</v>
      </c>
      <c r="K284" s="12">
        <v>1000</v>
      </c>
      <c r="L284" s="13">
        <v>0</v>
      </c>
      <c r="M284" s="13">
        <f>SUM(Employees_Tbl[[#This Row],[BASE SALARY]:[COMMISSION]])</f>
        <v>30600</v>
      </c>
      <c r="N284" s="11">
        <v>10</v>
      </c>
      <c r="O284" s="11">
        <v>10</v>
      </c>
      <c r="P284" s="11">
        <v>4</v>
      </c>
    </row>
    <row r="285" spans="1:16" x14ac:dyDescent="0.25">
      <c r="A285" s="11" t="s">
        <v>601</v>
      </c>
      <c r="B285" s="11" t="s">
        <v>602</v>
      </c>
      <c r="C285" s="11" t="s">
        <v>603</v>
      </c>
      <c r="D285" s="11" t="str">
        <f>Employees_Tbl[[#This Row],[LAST]] &amp;"." &amp; Employees_Tbl[[#This Row],[FIRST]]</f>
        <v>Preston.Alexander</v>
      </c>
      <c r="E285" s="11" t="s">
        <v>26</v>
      </c>
      <c r="F285" s="14">
        <v>42882</v>
      </c>
      <c r="G285" s="25">
        <f>YEAR(Employees_Tbl[[#This Row],[HIRE DATE]])</f>
        <v>2017</v>
      </c>
      <c r="H285" s="11" t="s">
        <v>217</v>
      </c>
      <c r="I285" s="11" t="s">
        <v>218</v>
      </c>
      <c r="J285" s="12">
        <v>28700</v>
      </c>
      <c r="K285" s="12">
        <v>1000</v>
      </c>
      <c r="L285" s="13">
        <v>0</v>
      </c>
      <c r="M285" s="13">
        <f>SUM(Employees_Tbl[[#This Row],[BASE SALARY]:[COMMISSION]])</f>
        <v>29700</v>
      </c>
      <c r="N285" s="11">
        <v>14</v>
      </c>
      <c r="O285" s="11">
        <v>7</v>
      </c>
      <c r="P285" s="11">
        <v>4</v>
      </c>
    </row>
    <row r="286" spans="1:16" x14ac:dyDescent="0.25">
      <c r="A286" s="11" t="s">
        <v>616</v>
      </c>
      <c r="B286" s="11" t="s">
        <v>617</v>
      </c>
      <c r="C286" s="11" t="s">
        <v>618</v>
      </c>
      <c r="D286" s="11" t="str">
        <f>Employees_Tbl[[#This Row],[LAST]] &amp;"." &amp; Employees_Tbl[[#This Row],[FIRST]]</f>
        <v>Flynn.Gerald</v>
      </c>
      <c r="E286" s="11" t="s">
        <v>33</v>
      </c>
      <c r="F286" s="14">
        <v>43060</v>
      </c>
      <c r="G286" s="25">
        <f>YEAR(Employees_Tbl[[#This Row],[HIRE DATE]])</f>
        <v>2017</v>
      </c>
      <c r="H286" s="11" t="s">
        <v>217</v>
      </c>
      <c r="I286" s="11" t="s">
        <v>218</v>
      </c>
      <c r="J286" s="12">
        <v>97300</v>
      </c>
      <c r="K286" s="12">
        <v>2500</v>
      </c>
      <c r="L286" s="13">
        <v>0</v>
      </c>
      <c r="M286" s="13">
        <f>SUM(Employees_Tbl[[#This Row],[BASE SALARY]:[COMMISSION]])</f>
        <v>99800</v>
      </c>
      <c r="N286" s="11">
        <v>16</v>
      </c>
      <c r="O286" s="11">
        <v>2</v>
      </c>
      <c r="P286" s="11">
        <v>5</v>
      </c>
    </row>
    <row r="287" spans="1:16" x14ac:dyDescent="0.25">
      <c r="A287" s="11" t="s">
        <v>968</v>
      </c>
      <c r="B287" s="11" t="s">
        <v>51</v>
      </c>
      <c r="C287" s="11" t="s">
        <v>969</v>
      </c>
      <c r="D287" s="11" t="str">
        <f>Employees_Tbl[[#This Row],[LAST]] &amp;"." &amp; Employees_Tbl[[#This Row],[FIRST]]</f>
        <v>Ray.Monica</v>
      </c>
      <c r="E287" s="11" t="s">
        <v>33</v>
      </c>
      <c r="F287" s="14">
        <v>43526</v>
      </c>
      <c r="G287" s="25">
        <f>YEAR(Employees_Tbl[[#This Row],[HIRE DATE]])</f>
        <v>2019</v>
      </c>
      <c r="H287" s="11" t="s">
        <v>217</v>
      </c>
      <c r="I287" s="11" t="s">
        <v>218</v>
      </c>
      <c r="J287" s="12">
        <v>87600</v>
      </c>
      <c r="K287" s="12">
        <v>2000</v>
      </c>
      <c r="L287" s="13">
        <v>0</v>
      </c>
      <c r="M287" s="13">
        <f>SUM(Employees_Tbl[[#This Row],[BASE SALARY]:[COMMISSION]])</f>
        <v>89600</v>
      </c>
      <c r="N287" s="11">
        <v>16</v>
      </c>
      <c r="O287" s="11">
        <v>5</v>
      </c>
      <c r="P287" s="11">
        <v>5</v>
      </c>
    </row>
    <row r="288" spans="1:16" x14ac:dyDescent="0.25">
      <c r="A288" s="11" t="s">
        <v>413</v>
      </c>
      <c r="B288" s="11" t="s">
        <v>414</v>
      </c>
      <c r="C288" s="11" t="s">
        <v>415</v>
      </c>
      <c r="D288" s="11" t="str">
        <f>Employees_Tbl[[#This Row],[LAST]] &amp;"." &amp; Employees_Tbl[[#This Row],[FIRST]]</f>
        <v>Colvin.Sharon</v>
      </c>
      <c r="E288" s="11" t="s">
        <v>33</v>
      </c>
      <c r="F288" s="14">
        <v>42715</v>
      </c>
      <c r="G288" s="25">
        <f>YEAR(Employees_Tbl[[#This Row],[HIRE DATE]])</f>
        <v>2016</v>
      </c>
      <c r="H288" s="11" t="s">
        <v>217</v>
      </c>
      <c r="I288" s="11" t="s">
        <v>218</v>
      </c>
      <c r="J288" s="12">
        <v>86900</v>
      </c>
      <c r="K288" s="12">
        <v>2000</v>
      </c>
      <c r="L288" s="13">
        <v>0</v>
      </c>
      <c r="M288" s="13">
        <f>SUM(Employees_Tbl[[#This Row],[BASE SALARY]:[COMMISSION]])</f>
        <v>88900</v>
      </c>
      <c r="N288" s="11">
        <v>11</v>
      </c>
      <c r="O288" s="11">
        <v>2</v>
      </c>
      <c r="P288" s="11">
        <v>4</v>
      </c>
    </row>
    <row r="289" spans="1:16" x14ac:dyDescent="0.25">
      <c r="A289" s="11" t="s">
        <v>333</v>
      </c>
      <c r="B289" s="11" t="s">
        <v>43</v>
      </c>
      <c r="C289" s="11" t="s">
        <v>334</v>
      </c>
      <c r="D289" s="11" t="str">
        <f>Employees_Tbl[[#This Row],[LAST]] &amp;"." &amp; Employees_Tbl[[#This Row],[FIRST]]</f>
        <v>Brown.Christopher</v>
      </c>
      <c r="E289" s="11" t="s">
        <v>33</v>
      </c>
      <c r="F289" s="14">
        <v>42276</v>
      </c>
      <c r="G289" s="25">
        <f>YEAR(Employees_Tbl[[#This Row],[HIRE DATE]])</f>
        <v>2015</v>
      </c>
      <c r="H289" s="11" t="s">
        <v>217</v>
      </c>
      <c r="I289" s="11" t="s">
        <v>218</v>
      </c>
      <c r="J289" s="12">
        <v>81600</v>
      </c>
      <c r="K289" s="12">
        <v>3000</v>
      </c>
      <c r="L289" s="13">
        <v>0</v>
      </c>
      <c r="M289" s="13">
        <f>SUM(Employees_Tbl[[#This Row],[BASE SALARY]:[COMMISSION]])</f>
        <v>84600</v>
      </c>
      <c r="N289" s="11">
        <v>10</v>
      </c>
      <c r="O289" s="11">
        <v>2</v>
      </c>
      <c r="P289" s="11">
        <v>4</v>
      </c>
    </row>
    <row r="290" spans="1:16" x14ac:dyDescent="0.25">
      <c r="A290" s="11" t="s">
        <v>412</v>
      </c>
      <c r="B290" s="11" t="s">
        <v>1296</v>
      </c>
      <c r="C290" s="11" t="s">
        <v>1297</v>
      </c>
      <c r="D290" s="11" t="str">
        <f>Employees_Tbl[[#This Row],[LAST]] &amp;"." &amp; Employees_Tbl[[#This Row],[FIRST]]</f>
        <v>Baros.Jacek</v>
      </c>
      <c r="E290" s="11" t="s">
        <v>33</v>
      </c>
      <c r="F290" s="14">
        <v>42731</v>
      </c>
      <c r="G290" s="25">
        <f>YEAR(Employees_Tbl[[#This Row],[HIRE DATE]])</f>
        <v>2016</v>
      </c>
      <c r="H290" s="11" t="s">
        <v>217</v>
      </c>
      <c r="I290" s="11" t="s">
        <v>218</v>
      </c>
      <c r="J290" s="12">
        <v>81300</v>
      </c>
      <c r="K290" s="12">
        <v>2000</v>
      </c>
      <c r="L290" s="13">
        <v>0</v>
      </c>
      <c r="M290" s="13">
        <f>SUM(Employees_Tbl[[#This Row],[BASE SALARY]:[COMMISSION]])</f>
        <v>83300</v>
      </c>
      <c r="N290" s="11">
        <v>16</v>
      </c>
      <c r="O290" s="11">
        <v>5</v>
      </c>
      <c r="P290" s="11">
        <v>5</v>
      </c>
    </row>
    <row r="291" spans="1:16" x14ac:dyDescent="0.25">
      <c r="A291" s="11" t="s">
        <v>966</v>
      </c>
      <c r="B291" s="11" t="s">
        <v>492</v>
      </c>
      <c r="C291" s="11" t="s">
        <v>967</v>
      </c>
      <c r="D291" s="11" t="str">
        <f>Employees_Tbl[[#This Row],[LAST]] &amp;"." &amp; Employees_Tbl[[#This Row],[FIRST]]</f>
        <v>Wiley.Tara</v>
      </c>
      <c r="E291" s="11" t="s">
        <v>33</v>
      </c>
      <c r="F291" s="14">
        <v>43699</v>
      </c>
      <c r="G291" s="25">
        <f>YEAR(Employees_Tbl[[#This Row],[HIRE DATE]])</f>
        <v>2019</v>
      </c>
      <c r="H291" s="11" t="s">
        <v>217</v>
      </c>
      <c r="I291" s="11" t="s">
        <v>218</v>
      </c>
      <c r="J291" s="12">
        <v>73500</v>
      </c>
      <c r="K291" s="12">
        <v>1500</v>
      </c>
      <c r="L291" s="13">
        <v>0</v>
      </c>
      <c r="M291" s="13">
        <f>SUM(Employees_Tbl[[#This Row],[BASE SALARY]:[COMMISSION]])</f>
        <v>75000</v>
      </c>
      <c r="N291" s="11">
        <v>18</v>
      </c>
      <c r="O291" s="11">
        <v>3</v>
      </c>
      <c r="P291" s="11">
        <v>4</v>
      </c>
    </row>
    <row r="292" spans="1:16" x14ac:dyDescent="0.25">
      <c r="A292" s="11" t="s">
        <v>1192</v>
      </c>
      <c r="B292" s="11" t="s">
        <v>62</v>
      </c>
      <c r="C292" s="11" t="s">
        <v>1193</v>
      </c>
      <c r="D292" s="11" t="str">
        <f>Employees_Tbl[[#This Row],[LAST]] &amp;"." &amp; Employees_Tbl[[#This Row],[FIRST]]</f>
        <v>Bodnar.Stephen</v>
      </c>
      <c r="E292" s="11" t="s">
        <v>33</v>
      </c>
      <c r="F292" s="14">
        <v>43895</v>
      </c>
      <c r="G292" s="25">
        <f>YEAR(Employees_Tbl[[#This Row],[HIRE DATE]])</f>
        <v>2020</v>
      </c>
      <c r="H292" s="11" t="s">
        <v>217</v>
      </c>
      <c r="I292" s="11" t="s">
        <v>218</v>
      </c>
      <c r="J292" s="12">
        <v>65400</v>
      </c>
      <c r="K292" s="12">
        <v>2000</v>
      </c>
      <c r="L292" s="13">
        <v>0</v>
      </c>
      <c r="M292" s="13">
        <f>SUM(Employees_Tbl[[#This Row],[BASE SALARY]:[COMMISSION]])</f>
        <v>67400</v>
      </c>
      <c r="N292" s="11">
        <v>15</v>
      </c>
      <c r="O292" s="11">
        <v>3</v>
      </c>
      <c r="P292" s="11">
        <v>4</v>
      </c>
    </row>
    <row r="293" spans="1:16" x14ac:dyDescent="0.25">
      <c r="A293" s="11" t="s">
        <v>410</v>
      </c>
      <c r="B293" s="11" t="s">
        <v>119</v>
      </c>
      <c r="C293" s="11" t="s">
        <v>411</v>
      </c>
      <c r="D293" s="11" t="str">
        <f>Employees_Tbl[[#This Row],[LAST]] &amp;"." &amp; Employees_Tbl[[#This Row],[FIRST]]</f>
        <v>Phelps.Brent</v>
      </c>
      <c r="E293" s="11" t="s">
        <v>33</v>
      </c>
      <c r="F293" s="14">
        <v>42575</v>
      </c>
      <c r="G293" s="25">
        <f>YEAR(Employees_Tbl[[#This Row],[HIRE DATE]])</f>
        <v>2016</v>
      </c>
      <c r="H293" s="11" t="s">
        <v>217</v>
      </c>
      <c r="I293" s="11" t="s">
        <v>218</v>
      </c>
      <c r="J293" s="12">
        <v>64100</v>
      </c>
      <c r="K293" s="12">
        <v>2500</v>
      </c>
      <c r="L293" s="13">
        <v>0</v>
      </c>
      <c r="M293" s="13">
        <f>SUM(Employees_Tbl[[#This Row],[BASE SALARY]:[COMMISSION]])</f>
        <v>66600</v>
      </c>
      <c r="N293" s="11">
        <v>13</v>
      </c>
      <c r="O293" s="11">
        <v>1</v>
      </c>
      <c r="P293" s="11">
        <v>3</v>
      </c>
    </row>
    <row r="294" spans="1:16" x14ac:dyDescent="0.25">
      <c r="A294" s="11" t="s">
        <v>613</v>
      </c>
      <c r="B294" s="11" t="s">
        <v>614</v>
      </c>
      <c r="C294" s="11" t="s">
        <v>615</v>
      </c>
      <c r="D294" s="11" t="str">
        <f>Employees_Tbl[[#This Row],[LAST]] &amp;"." &amp; Employees_Tbl[[#This Row],[FIRST]]</f>
        <v>Yelton.Violet</v>
      </c>
      <c r="E294" s="11" t="s">
        <v>33</v>
      </c>
      <c r="F294" s="14">
        <v>42911</v>
      </c>
      <c r="G294" s="25">
        <f>YEAR(Employees_Tbl[[#This Row],[HIRE DATE]])</f>
        <v>2017</v>
      </c>
      <c r="H294" s="11" t="s">
        <v>217</v>
      </c>
      <c r="I294" s="11" t="s">
        <v>218</v>
      </c>
      <c r="J294" s="12">
        <v>53300</v>
      </c>
      <c r="K294" s="12">
        <v>2000</v>
      </c>
      <c r="L294" s="13">
        <v>0</v>
      </c>
      <c r="M294" s="13">
        <f>SUM(Employees_Tbl[[#This Row],[BASE SALARY]:[COMMISSION]])</f>
        <v>55300</v>
      </c>
      <c r="N294" s="11">
        <v>16</v>
      </c>
      <c r="O294" s="11">
        <v>4</v>
      </c>
      <c r="P294" s="11">
        <v>5</v>
      </c>
    </row>
    <row r="295" spans="1:16" x14ac:dyDescent="0.25">
      <c r="A295" s="11" t="s">
        <v>811</v>
      </c>
      <c r="B295" s="11" t="s">
        <v>812</v>
      </c>
      <c r="C295" s="11" t="s">
        <v>813</v>
      </c>
      <c r="D295" s="11" t="str">
        <f>Employees_Tbl[[#This Row],[LAST]] &amp;"." &amp; Employees_Tbl[[#This Row],[FIRST]]</f>
        <v>Kramer.Nicole</v>
      </c>
      <c r="E295" s="11" t="s">
        <v>33</v>
      </c>
      <c r="F295" s="14">
        <v>43269</v>
      </c>
      <c r="G295" s="25">
        <f>YEAR(Employees_Tbl[[#This Row],[HIRE DATE]])</f>
        <v>2018</v>
      </c>
      <c r="H295" s="11" t="s">
        <v>217</v>
      </c>
      <c r="I295" s="11" t="s">
        <v>218</v>
      </c>
      <c r="J295" s="12">
        <v>52900</v>
      </c>
      <c r="K295" s="12">
        <v>1500</v>
      </c>
      <c r="L295" s="13">
        <v>0</v>
      </c>
      <c r="M295" s="13">
        <f>SUM(Employees_Tbl[[#This Row],[BASE SALARY]:[COMMISSION]])</f>
        <v>54400</v>
      </c>
      <c r="N295" s="11">
        <v>11</v>
      </c>
      <c r="O295" s="11">
        <v>1</v>
      </c>
      <c r="P295" s="11">
        <v>3</v>
      </c>
    </row>
    <row r="296" spans="1:16" x14ac:dyDescent="0.25">
      <c r="A296" s="11" t="s">
        <v>963</v>
      </c>
      <c r="B296" s="11" t="s">
        <v>964</v>
      </c>
      <c r="C296" s="11" t="s">
        <v>965</v>
      </c>
      <c r="D296" s="11" t="str">
        <f>Employees_Tbl[[#This Row],[LAST]] &amp;"." &amp; Employees_Tbl[[#This Row],[FIRST]]</f>
        <v>Grammer.Juan</v>
      </c>
      <c r="E296" s="11" t="s">
        <v>33</v>
      </c>
      <c r="F296" s="14">
        <v>43740</v>
      </c>
      <c r="G296" s="25">
        <f>YEAR(Employees_Tbl[[#This Row],[HIRE DATE]])</f>
        <v>2019</v>
      </c>
      <c r="H296" s="11" t="s">
        <v>217</v>
      </c>
      <c r="I296" s="11" t="s">
        <v>218</v>
      </c>
      <c r="J296" s="12">
        <v>49800</v>
      </c>
      <c r="K296" s="12">
        <v>1000</v>
      </c>
      <c r="L296" s="13">
        <v>0</v>
      </c>
      <c r="M296" s="13">
        <f>SUM(Employees_Tbl[[#This Row],[BASE SALARY]:[COMMISSION]])</f>
        <v>50800</v>
      </c>
      <c r="N296" s="11">
        <v>11</v>
      </c>
      <c r="O296" s="11">
        <v>1</v>
      </c>
      <c r="P296" s="11">
        <v>5</v>
      </c>
    </row>
    <row r="297" spans="1:16" x14ac:dyDescent="0.25">
      <c r="A297" s="11" t="s">
        <v>535</v>
      </c>
      <c r="B297" s="11" t="s">
        <v>35</v>
      </c>
      <c r="C297" s="11" t="s">
        <v>612</v>
      </c>
      <c r="D297" s="11" t="str">
        <f>Employees_Tbl[[#This Row],[LAST]] &amp;"." &amp; Employees_Tbl[[#This Row],[FIRST]]</f>
        <v>Eckert.Charles</v>
      </c>
      <c r="E297" s="11" t="s">
        <v>33</v>
      </c>
      <c r="F297" s="14">
        <v>43051</v>
      </c>
      <c r="G297" s="25">
        <f>YEAR(Employees_Tbl[[#This Row],[HIRE DATE]])</f>
        <v>2017</v>
      </c>
      <c r="H297" s="11" t="s">
        <v>217</v>
      </c>
      <c r="I297" s="11" t="s">
        <v>218</v>
      </c>
      <c r="J297" s="12">
        <v>49700</v>
      </c>
      <c r="K297" s="12">
        <v>1500</v>
      </c>
      <c r="L297" s="13">
        <v>0</v>
      </c>
      <c r="M297" s="13">
        <f>SUM(Employees_Tbl[[#This Row],[BASE SALARY]:[COMMISSION]])</f>
        <v>51200</v>
      </c>
      <c r="N297" s="11">
        <v>16</v>
      </c>
      <c r="O297" s="11">
        <v>2</v>
      </c>
      <c r="P297" s="11">
        <v>4</v>
      </c>
    </row>
    <row r="298" spans="1:16" x14ac:dyDescent="0.25">
      <c r="A298" s="11" t="s">
        <v>808</v>
      </c>
      <c r="B298" s="11" t="s">
        <v>809</v>
      </c>
      <c r="C298" s="11" t="s">
        <v>810</v>
      </c>
      <c r="D298" s="11" t="str">
        <f>Employees_Tbl[[#This Row],[LAST]] &amp;"." &amp; Employees_Tbl[[#This Row],[FIRST]]</f>
        <v>Whalen.Forrest</v>
      </c>
      <c r="E298" s="11" t="s">
        <v>33</v>
      </c>
      <c r="F298" s="14">
        <v>43263</v>
      </c>
      <c r="G298" s="25">
        <f>YEAR(Employees_Tbl[[#This Row],[HIRE DATE]])</f>
        <v>2018</v>
      </c>
      <c r="H298" s="11" t="s">
        <v>217</v>
      </c>
      <c r="I298" s="11" t="s">
        <v>218</v>
      </c>
      <c r="J298" s="12">
        <v>39800</v>
      </c>
      <c r="K298" s="12">
        <v>1000</v>
      </c>
      <c r="L298" s="13">
        <v>0</v>
      </c>
      <c r="M298" s="13">
        <f>SUM(Employees_Tbl[[#This Row],[BASE SALARY]:[COMMISSION]])</f>
        <v>40800</v>
      </c>
      <c r="N298" s="11">
        <v>13</v>
      </c>
      <c r="O298" s="11">
        <v>1</v>
      </c>
      <c r="P298" s="11">
        <v>4</v>
      </c>
    </row>
    <row r="299" spans="1:16" x14ac:dyDescent="0.25">
      <c r="A299" s="11" t="s">
        <v>1190</v>
      </c>
      <c r="B299" s="11" t="s">
        <v>1191</v>
      </c>
      <c r="C299" s="11" t="s">
        <v>271</v>
      </c>
      <c r="D299" s="11" t="str">
        <f>Employees_Tbl[[#This Row],[LAST]] &amp;"." &amp; Employees_Tbl[[#This Row],[FIRST]]</f>
        <v>Smith.Mayra</v>
      </c>
      <c r="E299" s="11" t="s">
        <v>33</v>
      </c>
      <c r="F299" s="14">
        <v>44095</v>
      </c>
      <c r="G299" s="25">
        <f>YEAR(Employees_Tbl[[#This Row],[HIRE DATE]])</f>
        <v>2020</v>
      </c>
      <c r="H299" s="11" t="s">
        <v>217</v>
      </c>
      <c r="I299" s="11" t="s">
        <v>218</v>
      </c>
      <c r="J299" s="12">
        <v>34000</v>
      </c>
      <c r="K299" s="12">
        <v>1000</v>
      </c>
      <c r="L299" s="13">
        <v>0</v>
      </c>
      <c r="M299" s="13">
        <f>SUM(Employees_Tbl[[#This Row],[BASE SALARY]:[COMMISSION]])</f>
        <v>35000</v>
      </c>
      <c r="N299" s="11">
        <v>12</v>
      </c>
      <c r="O299" s="11">
        <v>3</v>
      </c>
      <c r="P299" s="11">
        <v>4</v>
      </c>
    </row>
    <row r="300" spans="1:16" x14ac:dyDescent="0.25">
      <c r="A300" s="11" t="s">
        <v>1188</v>
      </c>
      <c r="B300" s="11" t="s">
        <v>1010</v>
      </c>
      <c r="C300" s="11" t="s">
        <v>1189</v>
      </c>
      <c r="D300" s="11" t="str">
        <f>Employees_Tbl[[#This Row],[LAST]] &amp;"." &amp; Employees_Tbl[[#This Row],[FIRST]]</f>
        <v>Gariepy.Sara</v>
      </c>
      <c r="E300" s="11" t="s">
        <v>33</v>
      </c>
      <c r="F300" s="14">
        <v>44038</v>
      </c>
      <c r="G300" s="25">
        <f>YEAR(Employees_Tbl[[#This Row],[HIRE DATE]])</f>
        <v>2020</v>
      </c>
      <c r="H300" s="11" t="s">
        <v>217</v>
      </c>
      <c r="I300" s="11" t="s">
        <v>218</v>
      </c>
      <c r="J300" s="12">
        <v>32600</v>
      </c>
      <c r="K300" s="12">
        <v>1000</v>
      </c>
      <c r="L300" s="13">
        <v>0</v>
      </c>
      <c r="M300" s="13">
        <f>SUM(Employees_Tbl[[#This Row],[BASE SALARY]:[COMMISSION]])</f>
        <v>33600</v>
      </c>
      <c r="N300" s="11">
        <v>11</v>
      </c>
      <c r="O300" s="11">
        <v>7</v>
      </c>
      <c r="P300" s="11">
        <v>3</v>
      </c>
    </row>
    <row r="301" spans="1:16" x14ac:dyDescent="0.25">
      <c r="A301" s="11" t="s">
        <v>823</v>
      </c>
      <c r="B301" s="11" t="s">
        <v>82</v>
      </c>
      <c r="C301" s="11" t="s">
        <v>824</v>
      </c>
      <c r="D301" s="11" t="str">
        <f>Employees_Tbl[[#This Row],[LAST]] &amp;"." &amp; Employees_Tbl[[#This Row],[FIRST]]</f>
        <v>Campbell.Paul</v>
      </c>
      <c r="E301" s="11" t="s">
        <v>37</v>
      </c>
      <c r="F301" s="14">
        <v>43421</v>
      </c>
      <c r="G301" s="25">
        <f>YEAR(Employees_Tbl[[#This Row],[HIRE DATE]])</f>
        <v>2018</v>
      </c>
      <c r="H301" s="11" t="s">
        <v>217</v>
      </c>
      <c r="I301" s="11" t="s">
        <v>218</v>
      </c>
      <c r="J301" s="12">
        <v>97700</v>
      </c>
      <c r="K301" s="12">
        <v>2500</v>
      </c>
      <c r="L301" s="13">
        <v>0</v>
      </c>
      <c r="M301" s="13">
        <f>SUM(Employees_Tbl[[#This Row],[BASE SALARY]:[COMMISSION]])</f>
        <v>100200</v>
      </c>
      <c r="N301" s="11">
        <v>18</v>
      </c>
      <c r="O301" s="11">
        <v>8</v>
      </c>
      <c r="P301" s="11">
        <v>3</v>
      </c>
    </row>
    <row r="302" spans="1:16" x14ac:dyDescent="0.25">
      <c r="A302" s="11" t="s">
        <v>335</v>
      </c>
      <c r="B302" s="11" t="s">
        <v>336</v>
      </c>
      <c r="C302" s="11" t="s">
        <v>337</v>
      </c>
      <c r="D302" s="11" t="str">
        <f>Employees_Tbl[[#This Row],[LAST]] &amp;"." &amp; Employees_Tbl[[#This Row],[FIRST]]</f>
        <v>Pina.Joan</v>
      </c>
      <c r="E302" s="11" t="s">
        <v>37</v>
      </c>
      <c r="F302" s="14">
        <v>42065</v>
      </c>
      <c r="G302" s="25">
        <f>YEAR(Employees_Tbl[[#This Row],[HIRE DATE]])</f>
        <v>2015</v>
      </c>
      <c r="H302" s="11" t="s">
        <v>217</v>
      </c>
      <c r="I302" s="11" t="s">
        <v>218</v>
      </c>
      <c r="J302" s="12">
        <v>95600</v>
      </c>
      <c r="K302" s="12">
        <v>2500</v>
      </c>
      <c r="L302" s="13">
        <v>0</v>
      </c>
      <c r="M302" s="13">
        <f>SUM(Employees_Tbl[[#This Row],[BASE SALARY]:[COMMISSION]])</f>
        <v>98100</v>
      </c>
      <c r="N302" s="11">
        <v>16</v>
      </c>
      <c r="O302" s="11">
        <v>11</v>
      </c>
      <c r="P302" s="11">
        <v>4</v>
      </c>
    </row>
    <row r="303" spans="1:16" x14ac:dyDescent="0.25">
      <c r="A303" s="11" t="s">
        <v>976</v>
      </c>
      <c r="B303" s="11" t="s">
        <v>56</v>
      </c>
      <c r="C303" s="11" t="s">
        <v>977</v>
      </c>
      <c r="D303" s="11" t="str">
        <f>Employees_Tbl[[#This Row],[LAST]] &amp;"." &amp; Employees_Tbl[[#This Row],[FIRST]]</f>
        <v>Duvall.Deborah</v>
      </c>
      <c r="E303" s="11" t="s">
        <v>37</v>
      </c>
      <c r="F303" s="14">
        <v>43511</v>
      </c>
      <c r="G303" s="25">
        <f>YEAR(Employees_Tbl[[#This Row],[HIRE DATE]])</f>
        <v>2019</v>
      </c>
      <c r="H303" s="11" t="s">
        <v>217</v>
      </c>
      <c r="I303" s="11" t="s">
        <v>218</v>
      </c>
      <c r="J303" s="12">
        <v>93100</v>
      </c>
      <c r="K303" s="12">
        <v>3000</v>
      </c>
      <c r="L303" s="13">
        <v>0</v>
      </c>
      <c r="M303" s="13">
        <f>SUM(Employees_Tbl[[#This Row],[BASE SALARY]:[COMMISSION]])</f>
        <v>96100</v>
      </c>
      <c r="N303" s="11">
        <v>13</v>
      </c>
      <c r="O303" s="11">
        <v>10</v>
      </c>
      <c r="P303" s="11">
        <v>4</v>
      </c>
    </row>
    <row r="304" spans="1:16" x14ac:dyDescent="0.25">
      <c r="A304" s="11" t="s">
        <v>820</v>
      </c>
      <c r="B304" s="11" t="s">
        <v>821</v>
      </c>
      <c r="C304" s="11" t="s">
        <v>822</v>
      </c>
      <c r="D304" s="11" t="str">
        <f>Employees_Tbl[[#This Row],[LAST]] &amp;"." &amp; Employees_Tbl[[#This Row],[FIRST]]</f>
        <v>Madden.Orville</v>
      </c>
      <c r="E304" s="11" t="s">
        <v>37</v>
      </c>
      <c r="F304" s="14">
        <v>43274</v>
      </c>
      <c r="G304" s="25">
        <f>YEAR(Employees_Tbl[[#This Row],[HIRE DATE]])</f>
        <v>2018</v>
      </c>
      <c r="H304" s="11" t="s">
        <v>217</v>
      </c>
      <c r="I304" s="11" t="s">
        <v>218</v>
      </c>
      <c r="J304" s="12">
        <v>88800</v>
      </c>
      <c r="K304" s="12">
        <v>3500</v>
      </c>
      <c r="L304" s="13">
        <v>0</v>
      </c>
      <c r="M304" s="13">
        <f>SUM(Employees_Tbl[[#This Row],[BASE SALARY]:[COMMISSION]])</f>
        <v>92300</v>
      </c>
      <c r="N304" s="11">
        <v>18</v>
      </c>
      <c r="O304" s="11">
        <v>3</v>
      </c>
      <c r="P304" s="11">
        <v>5</v>
      </c>
    </row>
    <row r="305" spans="1:16" x14ac:dyDescent="0.25">
      <c r="A305" s="11" t="s">
        <v>225</v>
      </c>
      <c r="B305" s="11" t="s">
        <v>226</v>
      </c>
      <c r="C305" s="11" t="s">
        <v>77</v>
      </c>
      <c r="D305" s="11" t="str">
        <f>Employees_Tbl[[#This Row],[LAST]] &amp;"." &amp; Employees_Tbl[[#This Row],[FIRST]]</f>
        <v>Noll.Danielle</v>
      </c>
      <c r="E305" s="11" t="s">
        <v>37</v>
      </c>
      <c r="F305" s="14">
        <v>41640</v>
      </c>
      <c r="G305" s="25">
        <f>YEAR(Employees_Tbl[[#This Row],[HIRE DATE]])</f>
        <v>2014</v>
      </c>
      <c r="H305" s="11" t="s">
        <v>217</v>
      </c>
      <c r="I305" s="11" t="s">
        <v>218</v>
      </c>
      <c r="J305" s="12">
        <v>86200</v>
      </c>
      <c r="K305" s="12">
        <v>2500</v>
      </c>
      <c r="L305" s="13">
        <v>0</v>
      </c>
      <c r="M305" s="13">
        <f>SUM(Employees_Tbl[[#This Row],[BASE SALARY]:[COMMISSION]])</f>
        <v>88700</v>
      </c>
      <c r="N305" s="11">
        <v>18</v>
      </c>
      <c r="O305" s="11">
        <v>6</v>
      </c>
      <c r="P305" s="11">
        <v>4</v>
      </c>
    </row>
    <row r="306" spans="1:16" x14ac:dyDescent="0.25">
      <c r="A306" s="11" t="s">
        <v>625</v>
      </c>
      <c r="B306" s="11" t="s">
        <v>626</v>
      </c>
      <c r="C306" s="11" t="s">
        <v>627</v>
      </c>
      <c r="D306" s="11" t="str">
        <f>Employees_Tbl[[#This Row],[LAST]] &amp;"." &amp; Employees_Tbl[[#This Row],[FIRST]]</f>
        <v>Hanson.Larry</v>
      </c>
      <c r="E306" s="11" t="s">
        <v>37</v>
      </c>
      <c r="F306" s="14">
        <v>42798</v>
      </c>
      <c r="G306" s="25">
        <f>YEAR(Employees_Tbl[[#This Row],[HIRE DATE]])</f>
        <v>2017</v>
      </c>
      <c r="H306" s="11" t="s">
        <v>217</v>
      </c>
      <c r="I306" s="11" t="s">
        <v>218</v>
      </c>
      <c r="J306" s="12">
        <v>79300</v>
      </c>
      <c r="K306" s="12">
        <v>2500</v>
      </c>
      <c r="L306" s="13">
        <v>0</v>
      </c>
      <c r="M306" s="13">
        <f>SUM(Employees_Tbl[[#This Row],[BASE SALARY]:[COMMISSION]])</f>
        <v>81800</v>
      </c>
      <c r="N306" s="11">
        <v>15</v>
      </c>
      <c r="O306" s="11">
        <v>1</v>
      </c>
      <c r="P306" s="11">
        <v>5</v>
      </c>
    </row>
    <row r="307" spans="1:16" x14ac:dyDescent="0.25">
      <c r="A307" s="11" t="s">
        <v>973</v>
      </c>
      <c r="B307" s="11" t="s">
        <v>974</v>
      </c>
      <c r="C307" s="11" t="s">
        <v>975</v>
      </c>
      <c r="D307" s="11" t="str">
        <f>Employees_Tbl[[#This Row],[LAST]] &amp;"." &amp; Employees_Tbl[[#This Row],[FIRST]]</f>
        <v>Simmers.Katie</v>
      </c>
      <c r="E307" s="11" t="s">
        <v>37</v>
      </c>
      <c r="F307" s="14">
        <v>43767</v>
      </c>
      <c r="G307" s="25">
        <f>YEAR(Employees_Tbl[[#This Row],[HIRE DATE]])</f>
        <v>2019</v>
      </c>
      <c r="H307" s="11" t="s">
        <v>217</v>
      </c>
      <c r="I307" s="11" t="s">
        <v>218</v>
      </c>
      <c r="J307" s="12">
        <v>69900</v>
      </c>
      <c r="K307" s="12">
        <v>2000</v>
      </c>
      <c r="L307" s="13">
        <v>0</v>
      </c>
      <c r="M307" s="13">
        <f>SUM(Employees_Tbl[[#This Row],[BASE SALARY]:[COMMISSION]])</f>
        <v>71900</v>
      </c>
      <c r="N307" s="11">
        <v>18</v>
      </c>
      <c r="O307" s="11">
        <v>10</v>
      </c>
      <c r="P307" s="11">
        <v>5</v>
      </c>
    </row>
    <row r="308" spans="1:16" x14ac:dyDescent="0.25">
      <c r="A308" s="11" t="s">
        <v>817</v>
      </c>
      <c r="B308" s="11" t="s">
        <v>818</v>
      </c>
      <c r="C308" s="11" t="s">
        <v>819</v>
      </c>
      <c r="D308" s="11" t="str">
        <f>Employees_Tbl[[#This Row],[LAST]] &amp;"." &amp; Employees_Tbl[[#This Row],[FIRST]]</f>
        <v>Hines.Curtis</v>
      </c>
      <c r="E308" s="11" t="s">
        <v>37</v>
      </c>
      <c r="F308" s="14">
        <v>43179</v>
      </c>
      <c r="G308" s="25">
        <f>YEAR(Employees_Tbl[[#This Row],[HIRE DATE]])</f>
        <v>2018</v>
      </c>
      <c r="H308" s="11" t="s">
        <v>217</v>
      </c>
      <c r="I308" s="11" t="s">
        <v>218</v>
      </c>
      <c r="J308" s="12">
        <v>67600</v>
      </c>
      <c r="K308" s="12">
        <v>1000</v>
      </c>
      <c r="L308" s="13">
        <v>0</v>
      </c>
      <c r="M308" s="13">
        <f>SUM(Employees_Tbl[[#This Row],[BASE SALARY]:[COMMISSION]])</f>
        <v>68600</v>
      </c>
      <c r="N308" s="11">
        <v>15</v>
      </c>
      <c r="O308" s="11">
        <v>12</v>
      </c>
      <c r="P308" s="11">
        <v>4</v>
      </c>
    </row>
    <row r="309" spans="1:16" x14ac:dyDescent="0.25">
      <c r="A309" s="11" t="s">
        <v>222</v>
      </c>
      <c r="B309" s="11" t="s">
        <v>223</v>
      </c>
      <c r="C309" s="11" t="s">
        <v>224</v>
      </c>
      <c r="D309" s="11" t="str">
        <f>Employees_Tbl[[#This Row],[LAST]] &amp;"." &amp; Employees_Tbl[[#This Row],[FIRST]]</f>
        <v>Russo.Michael</v>
      </c>
      <c r="E309" s="11" t="s">
        <v>37</v>
      </c>
      <c r="F309" s="14">
        <v>41834</v>
      </c>
      <c r="G309" s="25">
        <f>YEAR(Employees_Tbl[[#This Row],[HIRE DATE]])</f>
        <v>2014</v>
      </c>
      <c r="H309" s="11" t="s">
        <v>217</v>
      </c>
      <c r="I309" s="11" t="s">
        <v>218</v>
      </c>
      <c r="J309" s="12">
        <v>65400</v>
      </c>
      <c r="K309" s="12">
        <v>2000</v>
      </c>
      <c r="L309" s="13">
        <v>0</v>
      </c>
      <c r="M309" s="13">
        <f>SUM(Employees_Tbl[[#This Row],[BASE SALARY]:[COMMISSION]])</f>
        <v>67400</v>
      </c>
      <c r="N309" s="11">
        <v>14</v>
      </c>
      <c r="O309" s="11">
        <v>13</v>
      </c>
      <c r="P309" s="11">
        <v>5</v>
      </c>
    </row>
    <row r="310" spans="1:16" x14ac:dyDescent="0.25">
      <c r="A310" s="11" t="s">
        <v>814</v>
      </c>
      <c r="B310" s="11" t="s">
        <v>815</v>
      </c>
      <c r="C310" s="11" t="s">
        <v>816</v>
      </c>
      <c r="D310" s="11" t="str">
        <f>Employees_Tbl[[#This Row],[LAST]] &amp;"." &amp; Employees_Tbl[[#This Row],[FIRST]]</f>
        <v>Lefebvre.Nobuko</v>
      </c>
      <c r="E310" s="11" t="s">
        <v>37</v>
      </c>
      <c r="F310" s="14">
        <v>43465</v>
      </c>
      <c r="G310" s="25">
        <f>YEAR(Employees_Tbl[[#This Row],[HIRE DATE]])</f>
        <v>2018</v>
      </c>
      <c r="H310" s="11" t="s">
        <v>217</v>
      </c>
      <c r="I310" s="11" t="s">
        <v>218</v>
      </c>
      <c r="J310" s="12">
        <v>62800</v>
      </c>
      <c r="K310" s="12">
        <v>2000</v>
      </c>
      <c r="L310" s="13">
        <v>0</v>
      </c>
      <c r="M310" s="13">
        <f>SUM(Employees_Tbl[[#This Row],[BASE SALARY]:[COMMISSION]])</f>
        <v>64800</v>
      </c>
      <c r="N310" s="11">
        <v>14</v>
      </c>
      <c r="O310" s="11">
        <v>7</v>
      </c>
      <c r="P310" s="11">
        <v>3</v>
      </c>
    </row>
    <row r="311" spans="1:16" x14ac:dyDescent="0.25">
      <c r="A311" s="11" t="s">
        <v>1196</v>
      </c>
      <c r="B311" s="11" t="s">
        <v>1197</v>
      </c>
      <c r="C311" s="11" t="s">
        <v>1198</v>
      </c>
      <c r="D311" s="11" t="str">
        <f>Employees_Tbl[[#This Row],[LAST]] &amp;"." &amp; Employees_Tbl[[#This Row],[FIRST]]</f>
        <v>Summers.Dolly</v>
      </c>
      <c r="E311" s="11" t="s">
        <v>37</v>
      </c>
      <c r="F311" s="14">
        <v>43922</v>
      </c>
      <c r="G311" s="25">
        <f>YEAR(Employees_Tbl[[#This Row],[HIRE DATE]])</f>
        <v>2020</v>
      </c>
      <c r="H311" s="11" t="s">
        <v>217</v>
      </c>
      <c r="I311" s="11" t="s">
        <v>218</v>
      </c>
      <c r="J311" s="12">
        <v>61000</v>
      </c>
      <c r="K311" s="12">
        <v>2000</v>
      </c>
      <c r="L311" s="13">
        <v>0</v>
      </c>
      <c r="M311" s="13">
        <f>SUM(Employees_Tbl[[#This Row],[BASE SALARY]:[COMMISSION]])</f>
        <v>63000</v>
      </c>
      <c r="N311" s="11">
        <v>16</v>
      </c>
      <c r="O311" s="11">
        <v>5</v>
      </c>
      <c r="P311" s="11">
        <v>5</v>
      </c>
    </row>
    <row r="312" spans="1:16" x14ac:dyDescent="0.25">
      <c r="A312" s="11" t="s">
        <v>219</v>
      </c>
      <c r="B312" s="11" t="s">
        <v>220</v>
      </c>
      <c r="C312" s="11" t="s">
        <v>221</v>
      </c>
      <c r="D312" s="11" t="str">
        <f>Employees_Tbl[[#This Row],[LAST]] &amp;"." &amp; Employees_Tbl[[#This Row],[FIRST]]</f>
        <v>Batchelor.Betty</v>
      </c>
      <c r="E312" s="11" t="s">
        <v>37</v>
      </c>
      <c r="F312" s="14">
        <v>41801</v>
      </c>
      <c r="G312" s="25">
        <f>YEAR(Employees_Tbl[[#This Row],[HIRE DATE]])</f>
        <v>2014</v>
      </c>
      <c r="H312" s="11" t="s">
        <v>217</v>
      </c>
      <c r="I312" s="11" t="s">
        <v>218</v>
      </c>
      <c r="J312" s="12">
        <v>60200</v>
      </c>
      <c r="K312" s="12">
        <v>1500</v>
      </c>
      <c r="L312" s="13">
        <v>0</v>
      </c>
      <c r="M312" s="13">
        <f>SUM(Employees_Tbl[[#This Row],[BASE SALARY]:[COMMISSION]])</f>
        <v>61700</v>
      </c>
      <c r="N312" s="11">
        <v>18</v>
      </c>
      <c r="O312" s="11">
        <v>3</v>
      </c>
      <c r="P312" s="11">
        <v>2</v>
      </c>
    </row>
    <row r="313" spans="1:16" x14ac:dyDescent="0.25">
      <c r="A313" s="11" t="s">
        <v>970</v>
      </c>
      <c r="B313" s="11" t="s">
        <v>971</v>
      </c>
      <c r="C313" s="11" t="s">
        <v>972</v>
      </c>
      <c r="D313" s="11" t="str">
        <f>Employees_Tbl[[#This Row],[LAST]] &amp;"." &amp; Employees_Tbl[[#This Row],[FIRST]]</f>
        <v>Delany.Stephanie</v>
      </c>
      <c r="E313" s="11" t="s">
        <v>37</v>
      </c>
      <c r="F313" s="14">
        <v>43558</v>
      </c>
      <c r="G313" s="25">
        <f>YEAR(Employees_Tbl[[#This Row],[HIRE DATE]])</f>
        <v>2019</v>
      </c>
      <c r="H313" s="11" t="s">
        <v>217</v>
      </c>
      <c r="I313" s="11" t="s">
        <v>218</v>
      </c>
      <c r="J313" s="12">
        <v>53800</v>
      </c>
      <c r="K313" s="12">
        <v>1500</v>
      </c>
      <c r="L313" s="13">
        <v>0</v>
      </c>
      <c r="M313" s="13">
        <f>SUM(Employees_Tbl[[#This Row],[BASE SALARY]:[COMMISSION]])</f>
        <v>55300</v>
      </c>
      <c r="N313" s="11">
        <v>17</v>
      </c>
      <c r="O313" s="11">
        <v>7</v>
      </c>
      <c r="P313" s="11">
        <v>3</v>
      </c>
    </row>
    <row r="314" spans="1:16" x14ac:dyDescent="0.25">
      <c r="A314" s="11" t="s">
        <v>623</v>
      </c>
      <c r="B314" s="11" t="s">
        <v>94</v>
      </c>
      <c r="C314" s="11" t="s">
        <v>624</v>
      </c>
      <c r="D314" s="11" t="str">
        <f>Employees_Tbl[[#This Row],[LAST]] &amp;"." &amp; Employees_Tbl[[#This Row],[FIRST]]</f>
        <v>Hannah.John</v>
      </c>
      <c r="E314" s="11" t="s">
        <v>37</v>
      </c>
      <c r="F314" s="14">
        <v>42802</v>
      </c>
      <c r="G314" s="25">
        <f>YEAR(Employees_Tbl[[#This Row],[HIRE DATE]])</f>
        <v>2017</v>
      </c>
      <c r="H314" s="11" t="s">
        <v>217</v>
      </c>
      <c r="I314" s="11" t="s">
        <v>218</v>
      </c>
      <c r="J314" s="12">
        <v>49100</v>
      </c>
      <c r="K314" s="12">
        <v>1500</v>
      </c>
      <c r="L314" s="13">
        <v>0</v>
      </c>
      <c r="M314" s="13">
        <f>SUM(Employees_Tbl[[#This Row],[BASE SALARY]:[COMMISSION]])</f>
        <v>50600</v>
      </c>
      <c r="N314" s="11">
        <v>14</v>
      </c>
      <c r="O314" s="11">
        <v>2</v>
      </c>
      <c r="P314" s="11">
        <v>5</v>
      </c>
    </row>
    <row r="315" spans="1:16" x14ac:dyDescent="0.25">
      <c r="A315" s="11" t="s">
        <v>621</v>
      </c>
      <c r="B315" s="11" t="s">
        <v>477</v>
      </c>
      <c r="C315" s="11" t="s">
        <v>622</v>
      </c>
      <c r="D315" s="11" t="str">
        <f>Employees_Tbl[[#This Row],[LAST]] &amp;"." &amp; Employees_Tbl[[#This Row],[FIRST]]</f>
        <v>White.Barbara</v>
      </c>
      <c r="E315" s="11" t="s">
        <v>37</v>
      </c>
      <c r="F315" s="14">
        <v>42753</v>
      </c>
      <c r="G315" s="25">
        <f>YEAR(Employees_Tbl[[#This Row],[HIRE DATE]])</f>
        <v>2017</v>
      </c>
      <c r="H315" s="11" t="s">
        <v>217</v>
      </c>
      <c r="I315" s="11" t="s">
        <v>218</v>
      </c>
      <c r="J315" s="12">
        <v>43500</v>
      </c>
      <c r="K315" s="12">
        <v>1000</v>
      </c>
      <c r="L315" s="13">
        <v>0</v>
      </c>
      <c r="M315" s="13">
        <f>SUM(Employees_Tbl[[#This Row],[BASE SALARY]:[COMMISSION]])</f>
        <v>44500</v>
      </c>
      <c r="N315" s="11">
        <v>13</v>
      </c>
      <c r="O315" s="11">
        <v>7</v>
      </c>
      <c r="P315" s="11">
        <v>4</v>
      </c>
    </row>
    <row r="316" spans="1:16" x14ac:dyDescent="0.25">
      <c r="A316" s="11" t="s">
        <v>416</v>
      </c>
      <c r="B316" s="11" t="s">
        <v>204</v>
      </c>
      <c r="C316" s="11" t="s">
        <v>417</v>
      </c>
      <c r="D316" s="11" t="str">
        <f>Employees_Tbl[[#This Row],[LAST]] &amp;"." &amp; Employees_Tbl[[#This Row],[FIRST]]</f>
        <v>Delreal.Richard</v>
      </c>
      <c r="E316" s="11" t="s">
        <v>37</v>
      </c>
      <c r="F316" s="14">
        <v>42387</v>
      </c>
      <c r="G316" s="25">
        <f>YEAR(Employees_Tbl[[#This Row],[HIRE DATE]])</f>
        <v>2016</v>
      </c>
      <c r="H316" s="11" t="s">
        <v>217</v>
      </c>
      <c r="I316" s="11" t="s">
        <v>218</v>
      </c>
      <c r="J316" s="12">
        <v>41300</v>
      </c>
      <c r="K316" s="12">
        <v>1000</v>
      </c>
      <c r="L316" s="13">
        <v>0</v>
      </c>
      <c r="M316" s="13">
        <f>SUM(Employees_Tbl[[#This Row],[BASE SALARY]:[COMMISSION]])</f>
        <v>42300</v>
      </c>
      <c r="N316" s="11">
        <v>11</v>
      </c>
      <c r="O316" s="11">
        <v>7</v>
      </c>
      <c r="P316" s="11">
        <v>5</v>
      </c>
    </row>
    <row r="317" spans="1:16" x14ac:dyDescent="0.25">
      <c r="A317" s="11" t="s">
        <v>1194</v>
      </c>
      <c r="B317" s="11" t="s">
        <v>114</v>
      </c>
      <c r="C317" s="11" t="s">
        <v>1195</v>
      </c>
      <c r="D317" s="11" t="str">
        <f>Employees_Tbl[[#This Row],[LAST]] &amp;"." &amp; Employees_Tbl[[#This Row],[FIRST]]</f>
        <v>Munoz.William</v>
      </c>
      <c r="E317" s="11" t="s">
        <v>37</v>
      </c>
      <c r="F317" s="14">
        <v>43854</v>
      </c>
      <c r="G317" s="25">
        <f>YEAR(Employees_Tbl[[#This Row],[HIRE DATE]])</f>
        <v>2020</v>
      </c>
      <c r="H317" s="11" t="s">
        <v>217</v>
      </c>
      <c r="I317" s="11" t="s">
        <v>218</v>
      </c>
      <c r="J317" s="12">
        <v>39000</v>
      </c>
      <c r="K317" s="12">
        <v>1000</v>
      </c>
      <c r="L317" s="13">
        <v>0</v>
      </c>
      <c r="M317" s="13">
        <f>SUM(Employees_Tbl[[#This Row],[BASE SALARY]:[COMMISSION]])</f>
        <v>40000</v>
      </c>
      <c r="N317" s="11">
        <v>11</v>
      </c>
      <c r="O317" s="11">
        <v>3</v>
      </c>
      <c r="P317" s="11">
        <v>3</v>
      </c>
    </row>
    <row r="318" spans="1:16" x14ac:dyDescent="0.25">
      <c r="A318" s="11" t="s">
        <v>619</v>
      </c>
      <c r="B318" s="11" t="s">
        <v>620</v>
      </c>
      <c r="C318" s="11" t="s">
        <v>600</v>
      </c>
      <c r="D318" s="11" t="str">
        <f>Employees_Tbl[[#This Row],[LAST]] &amp;"." &amp; Employees_Tbl[[#This Row],[FIRST]]</f>
        <v>Boudreau.Benjamin</v>
      </c>
      <c r="E318" s="11" t="s">
        <v>37</v>
      </c>
      <c r="F318" s="14">
        <v>42955</v>
      </c>
      <c r="G318" s="25">
        <f>YEAR(Employees_Tbl[[#This Row],[HIRE DATE]])</f>
        <v>2017</v>
      </c>
      <c r="H318" s="11" t="s">
        <v>217</v>
      </c>
      <c r="I318" s="11" t="s">
        <v>218</v>
      </c>
      <c r="J318" s="12">
        <v>35100</v>
      </c>
      <c r="K318" s="12">
        <v>1000</v>
      </c>
      <c r="L318" s="13">
        <v>0</v>
      </c>
      <c r="M318" s="13">
        <f>SUM(Employees_Tbl[[#This Row],[BASE SALARY]:[COMMISSION]])</f>
        <v>36100</v>
      </c>
      <c r="N318" s="11">
        <v>11</v>
      </c>
      <c r="O318" s="11">
        <v>4</v>
      </c>
      <c r="P318" s="11">
        <v>5</v>
      </c>
    </row>
    <row r="319" spans="1:16" x14ac:dyDescent="0.25">
      <c r="A319" s="11" t="s">
        <v>1207</v>
      </c>
      <c r="B319" s="11" t="s">
        <v>1208</v>
      </c>
      <c r="C319" s="11" t="s">
        <v>1209</v>
      </c>
      <c r="D319" s="11" t="str">
        <f>Employees_Tbl[[#This Row],[LAST]] &amp;"." &amp; Employees_Tbl[[#This Row],[FIRST]]</f>
        <v>Espinosa.Kathryn</v>
      </c>
      <c r="E319" s="11" t="s">
        <v>41</v>
      </c>
      <c r="F319" s="14">
        <v>44014</v>
      </c>
      <c r="G319" s="25">
        <f>YEAR(Employees_Tbl[[#This Row],[HIRE DATE]])</f>
        <v>2020</v>
      </c>
      <c r="H319" s="11" t="s">
        <v>217</v>
      </c>
      <c r="I319" s="11" t="s">
        <v>218</v>
      </c>
      <c r="J319" s="12">
        <v>82600</v>
      </c>
      <c r="K319" s="12">
        <v>2000</v>
      </c>
      <c r="L319" s="13">
        <v>0</v>
      </c>
      <c r="M319" s="13">
        <f>SUM(Employees_Tbl[[#This Row],[BASE SALARY]:[COMMISSION]])</f>
        <v>84600</v>
      </c>
      <c r="N319" s="11">
        <v>17</v>
      </c>
      <c r="O319" s="11">
        <v>6</v>
      </c>
      <c r="P319" s="11">
        <v>5</v>
      </c>
    </row>
    <row r="320" spans="1:16" x14ac:dyDescent="0.25">
      <c r="A320" s="11" t="s">
        <v>832</v>
      </c>
      <c r="B320" s="11" t="s">
        <v>833</v>
      </c>
      <c r="C320" s="11" t="s">
        <v>834</v>
      </c>
      <c r="D320" s="11" t="str">
        <f>Employees_Tbl[[#This Row],[LAST]] &amp;"." &amp; Employees_Tbl[[#This Row],[FIRST]]</f>
        <v>Whitaker.Suzanne</v>
      </c>
      <c r="E320" s="11" t="s">
        <v>41</v>
      </c>
      <c r="F320" s="14">
        <v>43162</v>
      </c>
      <c r="G320" s="25">
        <f>YEAR(Employees_Tbl[[#This Row],[HIRE DATE]])</f>
        <v>2018</v>
      </c>
      <c r="H320" s="11" t="s">
        <v>217</v>
      </c>
      <c r="I320" s="11" t="s">
        <v>218</v>
      </c>
      <c r="J320" s="12">
        <v>77100</v>
      </c>
      <c r="K320" s="12">
        <v>1500</v>
      </c>
      <c r="L320" s="13">
        <v>0</v>
      </c>
      <c r="M320" s="13">
        <f>SUM(Employees_Tbl[[#This Row],[BASE SALARY]:[COMMISSION]])</f>
        <v>78600</v>
      </c>
      <c r="N320" s="11">
        <v>10</v>
      </c>
      <c r="O320" s="11">
        <v>6</v>
      </c>
      <c r="P320" s="11">
        <v>5</v>
      </c>
    </row>
    <row r="321" spans="1:16" x14ac:dyDescent="0.25">
      <c r="A321" s="11" t="s">
        <v>421</v>
      </c>
      <c r="B321" s="11" t="s">
        <v>268</v>
      </c>
      <c r="C321" s="11" t="s">
        <v>271</v>
      </c>
      <c r="D321" s="11" t="str">
        <f>Employees_Tbl[[#This Row],[LAST]] &amp;"." &amp; Employees_Tbl[[#This Row],[FIRST]]</f>
        <v>Smith.David</v>
      </c>
      <c r="E321" s="11" t="s">
        <v>41</v>
      </c>
      <c r="F321" s="14">
        <v>42596</v>
      </c>
      <c r="G321" s="25">
        <f>YEAR(Employees_Tbl[[#This Row],[HIRE DATE]])</f>
        <v>2016</v>
      </c>
      <c r="H321" s="11" t="s">
        <v>217</v>
      </c>
      <c r="I321" s="11" t="s">
        <v>218</v>
      </c>
      <c r="J321" s="12">
        <v>65800</v>
      </c>
      <c r="K321" s="12">
        <v>2000</v>
      </c>
      <c r="L321" s="13">
        <v>0</v>
      </c>
      <c r="M321" s="13">
        <f>SUM(Employees_Tbl[[#This Row],[BASE SALARY]:[COMMISSION]])</f>
        <v>67800</v>
      </c>
      <c r="N321" s="11">
        <v>11</v>
      </c>
      <c r="O321" s="11">
        <v>6</v>
      </c>
      <c r="P321" s="11">
        <v>3</v>
      </c>
    </row>
    <row r="322" spans="1:16" x14ac:dyDescent="0.25">
      <c r="A322" s="11" t="s">
        <v>829</v>
      </c>
      <c r="B322" s="11" t="s">
        <v>830</v>
      </c>
      <c r="C322" s="11" t="s">
        <v>831</v>
      </c>
      <c r="D322" s="11" t="str">
        <f>Employees_Tbl[[#This Row],[LAST]] &amp;"." &amp; Employees_Tbl[[#This Row],[FIRST]]</f>
        <v>Parker.Joseph</v>
      </c>
      <c r="E322" s="11" t="s">
        <v>41</v>
      </c>
      <c r="F322" s="14">
        <v>43450</v>
      </c>
      <c r="G322" s="25">
        <f>YEAR(Employees_Tbl[[#This Row],[HIRE DATE]])</f>
        <v>2018</v>
      </c>
      <c r="H322" s="11" t="s">
        <v>217</v>
      </c>
      <c r="I322" s="11" t="s">
        <v>218</v>
      </c>
      <c r="J322" s="12">
        <v>64000</v>
      </c>
      <c r="K322" s="12">
        <v>2000</v>
      </c>
      <c r="L322" s="13">
        <v>0</v>
      </c>
      <c r="M322" s="13">
        <f>SUM(Employees_Tbl[[#This Row],[BASE SALARY]:[COMMISSION]])</f>
        <v>66000</v>
      </c>
      <c r="N322" s="11">
        <v>13</v>
      </c>
      <c r="O322" s="11">
        <v>6</v>
      </c>
      <c r="P322" s="11">
        <v>3</v>
      </c>
    </row>
    <row r="323" spans="1:16" x14ac:dyDescent="0.25">
      <c r="A323" s="11" t="s">
        <v>418</v>
      </c>
      <c r="B323" s="11" t="s">
        <v>419</v>
      </c>
      <c r="C323" s="11" t="s">
        <v>420</v>
      </c>
      <c r="D323" s="11" t="str">
        <f>Employees_Tbl[[#This Row],[LAST]] &amp;"." &amp; Employees_Tbl[[#This Row],[FIRST]]</f>
        <v>Rosa.Gertrude</v>
      </c>
      <c r="E323" s="11" t="s">
        <v>41</v>
      </c>
      <c r="F323" s="14">
        <v>42681</v>
      </c>
      <c r="G323" s="25">
        <f>YEAR(Employees_Tbl[[#This Row],[HIRE DATE]])</f>
        <v>2016</v>
      </c>
      <c r="H323" s="11" t="s">
        <v>217</v>
      </c>
      <c r="I323" s="11" t="s">
        <v>218</v>
      </c>
      <c r="J323" s="12">
        <v>61500</v>
      </c>
      <c r="K323" s="12">
        <v>2000</v>
      </c>
      <c r="L323" s="13">
        <v>0</v>
      </c>
      <c r="M323" s="13">
        <f>SUM(Employees_Tbl[[#This Row],[BASE SALARY]:[COMMISSION]])</f>
        <v>63500</v>
      </c>
      <c r="N323" s="11">
        <v>10</v>
      </c>
      <c r="O323" s="11">
        <v>7</v>
      </c>
      <c r="P323" s="11">
        <v>5</v>
      </c>
    </row>
    <row r="324" spans="1:16" x14ac:dyDescent="0.25">
      <c r="A324" s="11" t="s">
        <v>1205</v>
      </c>
      <c r="B324" s="11" t="s">
        <v>1206</v>
      </c>
      <c r="C324" s="11" t="s">
        <v>393</v>
      </c>
      <c r="D324" s="11" t="str">
        <f>Employees_Tbl[[#This Row],[LAST]] &amp;"." &amp; Employees_Tbl[[#This Row],[FIRST]]</f>
        <v>Lewis.Maureen</v>
      </c>
      <c r="E324" s="11" t="s">
        <v>41</v>
      </c>
      <c r="F324" s="14">
        <v>43895</v>
      </c>
      <c r="G324" s="25">
        <f>YEAR(Employees_Tbl[[#This Row],[HIRE DATE]])</f>
        <v>2020</v>
      </c>
      <c r="H324" s="11" t="s">
        <v>217</v>
      </c>
      <c r="I324" s="11" t="s">
        <v>218</v>
      </c>
      <c r="J324" s="12">
        <v>49700</v>
      </c>
      <c r="K324" s="12">
        <v>1500</v>
      </c>
      <c r="L324" s="13">
        <v>0</v>
      </c>
      <c r="M324" s="13">
        <f>SUM(Employees_Tbl[[#This Row],[BASE SALARY]:[COMMISSION]])</f>
        <v>51200</v>
      </c>
      <c r="N324" s="11">
        <v>17</v>
      </c>
      <c r="O324" s="11">
        <v>5</v>
      </c>
      <c r="P324" s="11">
        <v>5</v>
      </c>
    </row>
    <row r="325" spans="1:16" x14ac:dyDescent="0.25">
      <c r="A325" s="11" t="s">
        <v>1204</v>
      </c>
      <c r="B325" s="11" t="s">
        <v>633</v>
      </c>
      <c r="C325" s="11" t="s">
        <v>443</v>
      </c>
      <c r="D325" s="11" t="str">
        <f>Employees_Tbl[[#This Row],[LAST]] &amp;"." &amp; Employees_Tbl[[#This Row],[FIRST]]</f>
        <v>Anderson.Alice</v>
      </c>
      <c r="E325" s="11" t="s">
        <v>41</v>
      </c>
      <c r="F325" s="14">
        <v>43916</v>
      </c>
      <c r="G325" s="25">
        <f>YEAR(Employees_Tbl[[#This Row],[HIRE DATE]])</f>
        <v>2020</v>
      </c>
      <c r="H325" s="11" t="s">
        <v>217</v>
      </c>
      <c r="I325" s="11" t="s">
        <v>218</v>
      </c>
      <c r="J325" s="12">
        <v>43600</v>
      </c>
      <c r="K325" s="12">
        <v>1500</v>
      </c>
      <c r="L325" s="13">
        <v>0</v>
      </c>
      <c r="M325" s="13">
        <f>SUM(Employees_Tbl[[#This Row],[BASE SALARY]:[COMMISSION]])</f>
        <v>45100</v>
      </c>
      <c r="N325" s="11">
        <v>15</v>
      </c>
      <c r="O325" s="11">
        <v>7</v>
      </c>
      <c r="P325" s="11">
        <v>5</v>
      </c>
    </row>
    <row r="326" spans="1:16" x14ac:dyDescent="0.25">
      <c r="A326" s="11" t="s">
        <v>828</v>
      </c>
      <c r="B326" s="11" t="s">
        <v>91</v>
      </c>
      <c r="C326" s="11" t="s">
        <v>1365</v>
      </c>
      <c r="D326" s="11" t="str">
        <f>Employees_Tbl[[#This Row],[LAST]] &amp;"." &amp; Employees_Tbl[[#This Row],[FIRST]]</f>
        <v>Tyler.Robert</v>
      </c>
      <c r="E326" s="11" t="s">
        <v>41</v>
      </c>
      <c r="F326" s="14">
        <v>43337</v>
      </c>
      <c r="G326" s="25">
        <f>YEAR(Employees_Tbl[[#This Row],[HIRE DATE]])</f>
        <v>2018</v>
      </c>
      <c r="H326" s="11" t="s">
        <v>217</v>
      </c>
      <c r="I326" s="11" t="s">
        <v>218</v>
      </c>
      <c r="J326" s="12">
        <v>43000</v>
      </c>
      <c r="K326" s="12">
        <v>1000</v>
      </c>
      <c r="L326" s="13">
        <v>0</v>
      </c>
      <c r="M326" s="13">
        <f>SUM(Employees_Tbl[[#This Row],[BASE SALARY]:[COMMISSION]])</f>
        <v>44000</v>
      </c>
      <c r="N326" s="11">
        <v>14</v>
      </c>
      <c r="O326" s="11">
        <v>8</v>
      </c>
      <c r="P326" s="11">
        <v>4</v>
      </c>
    </row>
    <row r="327" spans="1:16" x14ac:dyDescent="0.25">
      <c r="A327" s="11" t="s">
        <v>1201</v>
      </c>
      <c r="B327" s="11" t="s">
        <v>1202</v>
      </c>
      <c r="C327" s="11" t="s">
        <v>1203</v>
      </c>
      <c r="D327" s="11" t="str">
        <f>Employees_Tbl[[#This Row],[LAST]] &amp;"." &amp; Employees_Tbl[[#This Row],[FIRST]]</f>
        <v>Vargas.Erma</v>
      </c>
      <c r="E327" s="11" t="s">
        <v>41</v>
      </c>
      <c r="F327" s="14">
        <v>44161</v>
      </c>
      <c r="G327" s="25">
        <f>YEAR(Employees_Tbl[[#This Row],[HIRE DATE]])</f>
        <v>2020</v>
      </c>
      <c r="H327" s="11" t="s">
        <v>217</v>
      </c>
      <c r="I327" s="11" t="s">
        <v>218</v>
      </c>
      <c r="J327" s="12">
        <v>39500</v>
      </c>
      <c r="K327" s="12">
        <v>1500</v>
      </c>
      <c r="L327" s="13">
        <v>0</v>
      </c>
      <c r="M327" s="13">
        <f>SUM(Employees_Tbl[[#This Row],[BASE SALARY]:[COMMISSION]])</f>
        <v>41000</v>
      </c>
      <c r="N327" s="11">
        <v>17</v>
      </c>
      <c r="O327" s="11">
        <v>7</v>
      </c>
      <c r="P327" s="11">
        <v>5</v>
      </c>
    </row>
    <row r="328" spans="1:16" x14ac:dyDescent="0.25">
      <c r="A328" s="11" t="s">
        <v>825</v>
      </c>
      <c r="B328" s="11" t="s">
        <v>826</v>
      </c>
      <c r="C328" s="11" t="s">
        <v>827</v>
      </c>
      <c r="D328" s="11" t="str">
        <f>Employees_Tbl[[#This Row],[LAST]] &amp;"." &amp; Employees_Tbl[[#This Row],[FIRST]]</f>
        <v>Nguyen.Augustine</v>
      </c>
      <c r="E328" s="11" t="s">
        <v>41</v>
      </c>
      <c r="F328" s="14">
        <v>43355</v>
      </c>
      <c r="G328" s="25">
        <f>YEAR(Employees_Tbl[[#This Row],[HIRE DATE]])</f>
        <v>2018</v>
      </c>
      <c r="H328" s="11" t="s">
        <v>217</v>
      </c>
      <c r="I328" s="11" t="s">
        <v>218</v>
      </c>
      <c r="J328" s="12">
        <v>38800</v>
      </c>
      <c r="K328" s="12">
        <v>1000</v>
      </c>
      <c r="L328" s="13">
        <v>0</v>
      </c>
      <c r="M328" s="13">
        <f>SUM(Employees_Tbl[[#This Row],[BASE SALARY]:[COMMISSION]])</f>
        <v>39800</v>
      </c>
      <c r="N328" s="11">
        <v>17</v>
      </c>
      <c r="O328" s="11">
        <v>5</v>
      </c>
      <c r="P328" s="11">
        <v>4</v>
      </c>
    </row>
    <row r="329" spans="1:16" x14ac:dyDescent="0.25">
      <c r="A329" s="11" t="s">
        <v>1199</v>
      </c>
      <c r="B329" s="11" t="s">
        <v>556</v>
      </c>
      <c r="C329" s="11" t="s">
        <v>1200</v>
      </c>
      <c r="D329" s="11" t="str">
        <f>Employees_Tbl[[#This Row],[LAST]] &amp;"." &amp; Employees_Tbl[[#This Row],[FIRST]]</f>
        <v>Black.Rebecca</v>
      </c>
      <c r="E329" s="11" t="s">
        <v>41</v>
      </c>
      <c r="F329" s="14">
        <v>43947</v>
      </c>
      <c r="G329" s="25">
        <f>YEAR(Employees_Tbl[[#This Row],[HIRE DATE]])</f>
        <v>2020</v>
      </c>
      <c r="H329" s="11" t="s">
        <v>217</v>
      </c>
      <c r="I329" s="11" t="s">
        <v>218</v>
      </c>
      <c r="J329" s="12">
        <v>35400</v>
      </c>
      <c r="K329" s="12">
        <v>1000</v>
      </c>
      <c r="L329" s="13">
        <v>0</v>
      </c>
      <c r="M329" s="13">
        <f>SUM(Employees_Tbl[[#This Row],[BASE SALARY]:[COMMISSION]])</f>
        <v>36400</v>
      </c>
      <c r="N329" s="11">
        <v>17</v>
      </c>
      <c r="O329" s="11">
        <v>4</v>
      </c>
      <c r="P329" s="11">
        <v>5</v>
      </c>
    </row>
    <row r="330" spans="1:16" x14ac:dyDescent="0.25">
      <c r="A330" s="11" t="s">
        <v>234</v>
      </c>
      <c r="B330" s="11" t="s">
        <v>235</v>
      </c>
      <c r="C330" s="11" t="s">
        <v>236</v>
      </c>
      <c r="D330" s="11" t="str">
        <f>Employees_Tbl[[#This Row],[LAST]] &amp;"." &amp; Employees_Tbl[[#This Row],[FIRST]]</f>
        <v>Rethman.Russell</v>
      </c>
      <c r="E330" s="11" t="s">
        <v>45</v>
      </c>
      <c r="F330" s="14">
        <v>41881</v>
      </c>
      <c r="G330" s="25">
        <f>YEAR(Employees_Tbl[[#This Row],[HIRE DATE]])</f>
        <v>2014</v>
      </c>
      <c r="H330" s="11" t="s">
        <v>217</v>
      </c>
      <c r="I330" s="11" t="s">
        <v>218</v>
      </c>
      <c r="J330" s="12">
        <v>97800</v>
      </c>
      <c r="K330" s="12">
        <v>3500</v>
      </c>
      <c r="L330" s="13">
        <v>0</v>
      </c>
      <c r="M330" s="13">
        <f>SUM(Employees_Tbl[[#This Row],[BASE SALARY]:[COMMISSION]])</f>
        <v>101300</v>
      </c>
      <c r="N330" s="11">
        <v>15</v>
      </c>
      <c r="O330" s="11">
        <v>10</v>
      </c>
      <c r="P330" s="11">
        <v>4</v>
      </c>
    </row>
    <row r="331" spans="1:16" x14ac:dyDescent="0.25">
      <c r="A331" s="11" t="s">
        <v>1215</v>
      </c>
      <c r="B331" s="11" t="s">
        <v>1358</v>
      </c>
      <c r="C331" s="11" t="s">
        <v>1359</v>
      </c>
      <c r="D331" s="11" t="str">
        <f>Employees_Tbl[[#This Row],[LAST]] &amp;"." &amp; Employees_Tbl[[#This Row],[FIRST]]</f>
        <v>Adair.Pasquale</v>
      </c>
      <c r="E331" s="11" t="s">
        <v>45</v>
      </c>
      <c r="F331" s="14">
        <v>44188</v>
      </c>
      <c r="G331" s="25">
        <f>YEAR(Employees_Tbl[[#This Row],[HIRE DATE]])</f>
        <v>2020</v>
      </c>
      <c r="H331" s="11" t="s">
        <v>217</v>
      </c>
      <c r="I331" s="11" t="s">
        <v>218</v>
      </c>
      <c r="J331" s="13">
        <v>85100</v>
      </c>
      <c r="K331" s="12">
        <v>2500</v>
      </c>
      <c r="L331" s="13">
        <v>0</v>
      </c>
      <c r="M331" s="13">
        <f>SUM(Employees_Tbl[[#This Row],[BASE SALARY]:[COMMISSION]])</f>
        <v>87600</v>
      </c>
      <c r="N331" s="11">
        <v>15</v>
      </c>
      <c r="O331" s="11">
        <v>7</v>
      </c>
      <c r="P331" s="11">
        <v>4</v>
      </c>
    </row>
    <row r="332" spans="1:16" x14ac:dyDescent="0.25">
      <c r="A332" s="11" t="s">
        <v>233</v>
      </c>
      <c r="B332" s="11" t="s">
        <v>677</v>
      </c>
      <c r="C332" s="11" t="s">
        <v>107</v>
      </c>
      <c r="D332" s="11" t="str">
        <f>Employees_Tbl[[#This Row],[LAST]] &amp;"." &amp; Employees_Tbl[[#This Row],[FIRST]]</f>
        <v>Lafayette.Diane</v>
      </c>
      <c r="E332" s="11" t="s">
        <v>45</v>
      </c>
      <c r="F332" s="14">
        <v>41973</v>
      </c>
      <c r="G332" s="25">
        <f>YEAR(Employees_Tbl[[#This Row],[HIRE DATE]])</f>
        <v>2014</v>
      </c>
      <c r="H332" s="11" t="s">
        <v>217</v>
      </c>
      <c r="I332" s="11" t="s">
        <v>218</v>
      </c>
      <c r="J332" s="13">
        <v>66100</v>
      </c>
      <c r="K332" s="12">
        <v>1500</v>
      </c>
      <c r="L332" s="13">
        <v>0</v>
      </c>
      <c r="M332" s="13">
        <f>SUM(Employees_Tbl[[#This Row],[BASE SALARY]:[COMMISSION]])</f>
        <v>67600</v>
      </c>
      <c r="N332" s="11">
        <v>18</v>
      </c>
      <c r="O332" s="11">
        <v>6</v>
      </c>
      <c r="P332" s="11">
        <v>3</v>
      </c>
    </row>
    <row r="333" spans="1:16" x14ac:dyDescent="0.25">
      <c r="A333" s="11" t="s">
        <v>835</v>
      </c>
      <c r="B333" s="11" t="s">
        <v>31</v>
      </c>
      <c r="C333" s="11" t="s">
        <v>836</v>
      </c>
      <c r="D333" s="11" t="str">
        <f>Employees_Tbl[[#This Row],[LAST]] &amp;"." &amp; Employees_Tbl[[#This Row],[FIRST]]</f>
        <v>Overstreet.Kelly</v>
      </c>
      <c r="E333" s="11" t="s">
        <v>45</v>
      </c>
      <c r="F333" s="14">
        <v>43351</v>
      </c>
      <c r="G333" s="25">
        <f>YEAR(Employees_Tbl[[#This Row],[HIRE DATE]])</f>
        <v>2018</v>
      </c>
      <c r="H333" s="11" t="s">
        <v>217</v>
      </c>
      <c r="I333" s="11" t="s">
        <v>218</v>
      </c>
      <c r="J333" s="12">
        <v>64600</v>
      </c>
      <c r="K333" s="12">
        <v>1500</v>
      </c>
      <c r="L333" s="13">
        <v>0</v>
      </c>
      <c r="M333" s="13">
        <f>SUM(Employees_Tbl[[#This Row],[BASE SALARY]:[COMMISSION]])</f>
        <v>66100</v>
      </c>
      <c r="N333" s="11">
        <v>16</v>
      </c>
      <c r="O333" s="11">
        <v>7</v>
      </c>
      <c r="P333" s="11">
        <v>4</v>
      </c>
    </row>
    <row r="334" spans="1:16" x14ac:dyDescent="0.25">
      <c r="A334" s="11" t="s">
        <v>1212</v>
      </c>
      <c r="B334" s="11" t="s">
        <v>1213</v>
      </c>
      <c r="C334" s="11" t="s">
        <v>1214</v>
      </c>
      <c r="D334" s="11" t="str">
        <f>Employees_Tbl[[#This Row],[LAST]] &amp;"." &amp; Employees_Tbl[[#This Row],[FIRST]]</f>
        <v>Schell.Wendy</v>
      </c>
      <c r="E334" s="11" t="s">
        <v>45</v>
      </c>
      <c r="F334" s="14">
        <v>43899</v>
      </c>
      <c r="G334" s="25">
        <f>YEAR(Employees_Tbl[[#This Row],[HIRE DATE]])</f>
        <v>2020</v>
      </c>
      <c r="H334" s="11" t="s">
        <v>217</v>
      </c>
      <c r="I334" s="11" t="s">
        <v>218</v>
      </c>
      <c r="J334" s="12">
        <v>63500</v>
      </c>
      <c r="K334" s="12">
        <v>2000</v>
      </c>
      <c r="L334" s="13">
        <v>0</v>
      </c>
      <c r="M334" s="13">
        <f>SUM(Employees_Tbl[[#This Row],[BASE SALARY]:[COMMISSION]])</f>
        <v>65500</v>
      </c>
      <c r="N334" s="11">
        <v>16</v>
      </c>
      <c r="O334" s="11">
        <v>9</v>
      </c>
      <c r="P334" s="11">
        <v>5</v>
      </c>
    </row>
    <row r="335" spans="1:16" x14ac:dyDescent="0.25">
      <c r="A335" s="11" t="s">
        <v>230</v>
      </c>
      <c r="B335" s="11" t="s">
        <v>231</v>
      </c>
      <c r="C335" s="11" t="s">
        <v>232</v>
      </c>
      <c r="D335" s="11" t="str">
        <f>Employees_Tbl[[#This Row],[LAST]] &amp;"." &amp; Employees_Tbl[[#This Row],[FIRST]]</f>
        <v>Moua.Tonya</v>
      </c>
      <c r="E335" s="11" t="s">
        <v>45</v>
      </c>
      <c r="F335" s="14">
        <v>41890</v>
      </c>
      <c r="G335" s="25">
        <f>YEAR(Employees_Tbl[[#This Row],[HIRE DATE]])</f>
        <v>2014</v>
      </c>
      <c r="H335" s="11" t="s">
        <v>217</v>
      </c>
      <c r="I335" s="11" t="s">
        <v>218</v>
      </c>
      <c r="J335" s="12">
        <v>56900</v>
      </c>
      <c r="K335" s="12">
        <v>2000</v>
      </c>
      <c r="L335" s="13">
        <v>0</v>
      </c>
      <c r="M335" s="13">
        <f>SUM(Employees_Tbl[[#This Row],[BASE SALARY]:[COMMISSION]])</f>
        <v>58900</v>
      </c>
      <c r="N335" s="11">
        <v>11</v>
      </c>
      <c r="O335" s="11">
        <v>7</v>
      </c>
      <c r="P335" s="11">
        <v>3</v>
      </c>
    </row>
    <row r="336" spans="1:16" x14ac:dyDescent="0.25">
      <c r="A336" s="11" t="s">
        <v>978</v>
      </c>
      <c r="B336" s="11" t="s">
        <v>979</v>
      </c>
      <c r="C336" s="11" t="s">
        <v>980</v>
      </c>
      <c r="D336" s="11" t="str">
        <f>Employees_Tbl[[#This Row],[LAST]] &amp;"." &amp; Employees_Tbl[[#This Row],[FIRST]]</f>
        <v>Matlock.Lucy</v>
      </c>
      <c r="E336" s="11" t="s">
        <v>45</v>
      </c>
      <c r="F336" s="14">
        <v>43615</v>
      </c>
      <c r="G336" s="25">
        <f>YEAR(Employees_Tbl[[#This Row],[HIRE DATE]])</f>
        <v>2019</v>
      </c>
      <c r="H336" s="11" t="s">
        <v>217</v>
      </c>
      <c r="I336" s="11" t="s">
        <v>218</v>
      </c>
      <c r="J336" s="12">
        <v>48400</v>
      </c>
      <c r="K336" s="12">
        <v>1500</v>
      </c>
      <c r="L336" s="13">
        <v>0</v>
      </c>
      <c r="M336" s="13">
        <f>SUM(Employees_Tbl[[#This Row],[BASE SALARY]:[COMMISSION]])</f>
        <v>49900</v>
      </c>
      <c r="N336" s="11">
        <v>10</v>
      </c>
      <c r="O336" s="11">
        <v>7</v>
      </c>
      <c r="P336" s="11">
        <v>5</v>
      </c>
    </row>
    <row r="337" spans="1:16" x14ac:dyDescent="0.25">
      <c r="A337" s="11" t="s">
        <v>227</v>
      </c>
      <c r="B337" s="11" t="s">
        <v>228</v>
      </c>
      <c r="C337" s="11" t="s">
        <v>229</v>
      </c>
      <c r="D337" s="11" t="str">
        <f>Employees_Tbl[[#This Row],[LAST]] &amp;"." &amp; Employees_Tbl[[#This Row],[FIRST]]</f>
        <v>Shepherd.Bertha</v>
      </c>
      <c r="E337" s="11" t="s">
        <v>45</v>
      </c>
      <c r="F337" s="14">
        <v>41933</v>
      </c>
      <c r="G337" s="25">
        <f>YEAR(Employees_Tbl[[#This Row],[HIRE DATE]])</f>
        <v>2014</v>
      </c>
      <c r="H337" s="11" t="s">
        <v>217</v>
      </c>
      <c r="I337" s="11" t="s">
        <v>218</v>
      </c>
      <c r="J337" s="12">
        <v>45600</v>
      </c>
      <c r="K337" s="12">
        <v>1500</v>
      </c>
      <c r="L337" s="13">
        <v>0</v>
      </c>
      <c r="M337" s="13">
        <f>SUM(Employees_Tbl[[#This Row],[BASE SALARY]:[COMMISSION]])</f>
        <v>47100</v>
      </c>
      <c r="N337" s="11">
        <v>10</v>
      </c>
      <c r="O337" s="11">
        <v>9</v>
      </c>
      <c r="P337" s="11">
        <v>3</v>
      </c>
    </row>
    <row r="338" spans="1:16" x14ac:dyDescent="0.25">
      <c r="A338" s="11" t="s">
        <v>338</v>
      </c>
      <c r="B338" s="11" t="s">
        <v>339</v>
      </c>
      <c r="C338" s="11" t="s">
        <v>340</v>
      </c>
      <c r="D338" s="11" t="str">
        <f>Employees_Tbl[[#This Row],[LAST]] &amp;"." &amp; Employees_Tbl[[#This Row],[FIRST]]</f>
        <v>Santangelo.Pricilla</v>
      </c>
      <c r="E338" s="11" t="s">
        <v>45</v>
      </c>
      <c r="F338" s="14">
        <v>42171</v>
      </c>
      <c r="G338" s="25">
        <f>YEAR(Employees_Tbl[[#This Row],[HIRE DATE]])</f>
        <v>2015</v>
      </c>
      <c r="H338" s="11" t="s">
        <v>217</v>
      </c>
      <c r="I338" s="11" t="s">
        <v>218</v>
      </c>
      <c r="J338" s="12">
        <v>43600</v>
      </c>
      <c r="K338" s="12">
        <v>1000</v>
      </c>
      <c r="L338" s="13">
        <v>0</v>
      </c>
      <c r="M338" s="13">
        <f>SUM(Employees_Tbl[[#This Row],[BASE SALARY]:[COMMISSION]])</f>
        <v>44600</v>
      </c>
      <c r="N338" s="11">
        <v>17</v>
      </c>
      <c r="O338" s="11">
        <v>4</v>
      </c>
      <c r="P338" s="11">
        <v>4</v>
      </c>
    </row>
    <row r="339" spans="1:16" x14ac:dyDescent="0.25">
      <c r="A339" s="11" t="s">
        <v>1210</v>
      </c>
      <c r="B339" s="11" t="s">
        <v>94</v>
      </c>
      <c r="C339" s="11" t="s">
        <v>1211</v>
      </c>
      <c r="D339" s="11" t="str">
        <f>Employees_Tbl[[#This Row],[LAST]] &amp;"." &amp; Employees_Tbl[[#This Row],[FIRST]]</f>
        <v>Sullivan.John</v>
      </c>
      <c r="E339" s="11" t="s">
        <v>45</v>
      </c>
      <c r="F339" s="14">
        <v>44185</v>
      </c>
      <c r="G339" s="25">
        <f>YEAR(Employees_Tbl[[#This Row],[HIRE DATE]])</f>
        <v>2020</v>
      </c>
      <c r="H339" s="11" t="s">
        <v>217</v>
      </c>
      <c r="I339" s="11" t="s">
        <v>218</v>
      </c>
      <c r="J339" s="12">
        <v>43300</v>
      </c>
      <c r="K339" s="12">
        <v>1000</v>
      </c>
      <c r="L339" s="13">
        <v>0</v>
      </c>
      <c r="M339" s="13">
        <f>SUM(Employees_Tbl[[#This Row],[BASE SALARY]:[COMMISSION]])</f>
        <v>44300</v>
      </c>
      <c r="N339" s="11">
        <v>12</v>
      </c>
      <c r="O339" s="11">
        <v>5</v>
      </c>
      <c r="P339" s="11">
        <v>3</v>
      </c>
    </row>
    <row r="340" spans="1:16" x14ac:dyDescent="0.25">
      <c r="A340" s="11" t="s">
        <v>422</v>
      </c>
      <c r="B340" s="11" t="s">
        <v>423</v>
      </c>
      <c r="C340" s="11" t="s">
        <v>424</v>
      </c>
      <c r="D340" s="11" t="str">
        <f>Employees_Tbl[[#This Row],[LAST]] &amp;"." &amp; Employees_Tbl[[#This Row],[FIRST]]</f>
        <v>Parkison.Karen</v>
      </c>
      <c r="E340" s="11" t="s">
        <v>45</v>
      </c>
      <c r="F340" s="14">
        <v>42588</v>
      </c>
      <c r="G340" s="25">
        <f>YEAR(Employees_Tbl[[#This Row],[HIRE DATE]])</f>
        <v>2016</v>
      </c>
      <c r="H340" s="11" t="s">
        <v>217</v>
      </c>
      <c r="I340" s="11" t="s">
        <v>218</v>
      </c>
      <c r="J340" s="12">
        <v>37600</v>
      </c>
      <c r="K340" s="12">
        <v>1500</v>
      </c>
      <c r="L340" s="13">
        <v>0</v>
      </c>
      <c r="M340" s="13">
        <f>SUM(Employees_Tbl[[#This Row],[BASE SALARY]:[COMMISSION]])</f>
        <v>39100</v>
      </c>
      <c r="N340" s="11">
        <v>14</v>
      </c>
      <c r="O340" s="11">
        <v>2</v>
      </c>
      <c r="P340" s="11">
        <v>5</v>
      </c>
    </row>
    <row r="341" spans="1:16" x14ac:dyDescent="0.25">
      <c r="A341" s="11" t="s">
        <v>428</v>
      </c>
      <c r="B341" s="11" t="s">
        <v>429</v>
      </c>
      <c r="C341" s="11" t="s">
        <v>430</v>
      </c>
      <c r="D341" s="11" t="str">
        <f>Employees_Tbl[[#This Row],[LAST]] &amp;"." &amp; Employees_Tbl[[#This Row],[FIRST]]</f>
        <v>Snow.Debra</v>
      </c>
      <c r="E341" s="11" t="s">
        <v>49</v>
      </c>
      <c r="F341" s="14">
        <v>42454</v>
      </c>
      <c r="G341" s="25">
        <f>YEAR(Employees_Tbl[[#This Row],[HIRE DATE]])</f>
        <v>2016</v>
      </c>
      <c r="H341" s="11" t="s">
        <v>217</v>
      </c>
      <c r="I341" s="11" t="s">
        <v>218</v>
      </c>
      <c r="J341" s="12">
        <v>64100</v>
      </c>
      <c r="K341" s="12">
        <v>1500</v>
      </c>
      <c r="L341" s="13">
        <v>46500</v>
      </c>
      <c r="M341" s="13">
        <f>SUM(Employees_Tbl[[#This Row],[BASE SALARY]:[COMMISSION]])</f>
        <v>112100</v>
      </c>
      <c r="N341" s="11">
        <v>13</v>
      </c>
      <c r="O341" s="11">
        <v>7</v>
      </c>
      <c r="P341" s="11">
        <v>3</v>
      </c>
    </row>
    <row r="342" spans="1:16" x14ac:dyDescent="0.25">
      <c r="A342" s="11" t="s">
        <v>425</v>
      </c>
      <c r="B342" s="11" t="s">
        <v>1369</v>
      </c>
      <c r="C342" s="11" t="s">
        <v>1370</v>
      </c>
      <c r="D342" s="11" t="str">
        <f>Employees_Tbl[[#This Row],[LAST]] &amp;"." &amp; Employees_Tbl[[#This Row],[FIRST]]</f>
        <v>Casares.Carmen</v>
      </c>
      <c r="E342" s="11" t="s">
        <v>49</v>
      </c>
      <c r="F342" s="14">
        <v>42462</v>
      </c>
      <c r="G342" s="25">
        <f>YEAR(Employees_Tbl[[#This Row],[HIRE DATE]])</f>
        <v>2016</v>
      </c>
      <c r="H342" s="11" t="s">
        <v>217</v>
      </c>
      <c r="I342" s="11" t="s">
        <v>218</v>
      </c>
      <c r="J342" s="12">
        <v>59800</v>
      </c>
      <c r="K342" s="12">
        <v>1500</v>
      </c>
      <c r="L342" s="13">
        <v>6800</v>
      </c>
      <c r="M342" s="13">
        <f>SUM(Employees_Tbl[[#This Row],[BASE SALARY]:[COMMISSION]])</f>
        <v>68100</v>
      </c>
      <c r="N342" s="11">
        <v>15</v>
      </c>
      <c r="O342" s="11">
        <v>6</v>
      </c>
      <c r="P342" s="11">
        <v>2</v>
      </c>
    </row>
    <row r="343" spans="1:16" x14ac:dyDescent="0.25">
      <c r="A343" s="11" t="s">
        <v>1227</v>
      </c>
      <c r="B343" s="11" t="s">
        <v>1103</v>
      </c>
      <c r="C343" s="11" t="s">
        <v>885</v>
      </c>
      <c r="D343" s="11" t="str">
        <f>Employees_Tbl[[#This Row],[LAST]] &amp;"." &amp; Employees_Tbl[[#This Row],[FIRST]]</f>
        <v>Floyd.Sandra</v>
      </c>
      <c r="E343" s="11" t="s">
        <v>49</v>
      </c>
      <c r="F343" s="14">
        <v>44169</v>
      </c>
      <c r="G343" s="25">
        <f>YEAR(Employees_Tbl[[#This Row],[HIRE DATE]])</f>
        <v>2020</v>
      </c>
      <c r="H343" s="11" t="s">
        <v>217</v>
      </c>
      <c r="I343" s="11" t="s">
        <v>218</v>
      </c>
      <c r="J343" s="12">
        <v>57700</v>
      </c>
      <c r="K343" s="12">
        <v>1500</v>
      </c>
      <c r="L343" s="13">
        <v>44400</v>
      </c>
      <c r="M343" s="13">
        <f>SUM(Employees_Tbl[[#This Row],[BASE SALARY]:[COMMISSION]])</f>
        <v>103600</v>
      </c>
      <c r="N343" s="11">
        <v>16</v>
      </c>
      <c r="O343" s="11">
        <v>12</v>
      </c>
      <c r="P343" s="11">
        <v>5</v>
      </c>
    </row>
    <row r="344" spans="1:16" x14ac:dyDescent="0.25">
      <c r="A344" s="11" t="s">
        <v>1219</v>
      </c>
      <c r="B344" s="11" t="s">
        <v>137</v>
      </c>
      <c r="C344" s="11" t="s">
        <v>1220</v>
      </c>
      <c r="D344" s="11" t="str">
        <f>Employees_Tbl[[#This Row],[LAST]] &amp;"." &amp; Employees_Tbl[[#This Row],[FIRST]]</f>
        <v>Whitton.Timothy</v>
      </c>
      <c r="E344" s="11" t="s">
        <v>49</v>
      </c>
      <c r="F344" s="14">
        <v>43900</v>
      </c>
      <c r="G344" s="25">
        <f>YEAR(Employees_Tbl[[#This Row],[HIRE DATE]])</f>
        <v>2020</v>
      </c>
      <c r="H344" s="11" t="s">
        <v>217</v>
      </c>
      <c r="I344" s="11" t="s">
        <v>218</v>
      </c>
      <c r="J344" s="12">
        <v>53200</v>
      </c>
      <c r="K344" s="12">
        <v>2000</v>
      </c>
      <c r="L344" s="13">
        <v>22500</v>
      </c>
      <c r="M344" s="13">
        <f>SUM(Employees_Tbl[[#This Row],[BASE SALARY]:[COMMISSION]])</f>
        <v>77700</v>
      </c>
      <c r="N344" s="11">
        <v>10</v>
      </c>
      <c r="O344" s="11">
        <v>3</v>
      </c>
      <c r="P344" s="11">
        <v>5</v>
      </c>
    </row>
    <row r="345" spans="1:16" x14ac:dyDescent="0.25">
      <c r="A345" s="11" t="s">
        <v>1221</v>
      </c>
      <c r="B345" s="11" t="s">
        <v>1222</v>
      </c>
      <c r="C345" s="11" t="s">
        <v>1223</v>
      </c>
      <c r="D345" s="11" t="str">
        <f>Employees_Tbl[[#This Row],[LAST]] &amp;"." &amp; Employees_Tbl[[#This Row],[FIRST]]</f>
        <v>Hyatt.Lola</v>
      </c>
      <c r="E345" s="11" t="s">
        <v>49</v>
      </c>
      <c r="F345" s="14">
        <v>43875</v>
      </c>
      <c r="G345" s="25">
        <f>YEAR(Employees_Tbl[[#This Row],[HIRE DATE]])</f>
        <v>2020</v>
      </c>
      <c r="H345" s="11" t="s">
        <v>217</v>
      </c>
      <c r="I345" s="11" t="s">
        <v>218</v>
      </c>
      <c r="J345" s="12">
        <v>51900</v>
      </c>
      <c r="K345" s="12">
        <v>2000</v>
      </c>
      <c r="L345" s="13">
        <v>40700</v>
      </c>
      <c r="M345" s="13">
        <f>SUM(Employees_Tbl[[#This Row],[BASE SALARY]:[COMMISSION]])</f>
        <v>94600</v>
      </c>
      <c r="N345" s="11">
        <v>16</v>
      </c>
      <c r="O345" s="11">
        <v>3</v>
      </c>
      <c r="P345" s="11">
        <v>5</v>
      </c>
    </row>
    <row r="346" spans="1:16" x14ac:dyDescent="0.25">
      <c r="A346" s="11" t="s">
        <v>1325</v>
      </c>
      <c r="B346" s="11" t="s">
        <v>24</v>
      </c>
      <c r="C346" s="11" t="s">
        <v>628</v>
      </c>
      <c r="D346" s="11" t="str">
        <f>Employees_Tbl[[#This Row],[LAST]] &amp;"." &amp; Employees_Tbl[[#This Row],[FIRST]]</f>
        <v>Polanco.Maria</v>
      </c>
      <c r="E346" s="11" t="s">
        <v>49</v>
      </c>
      <c r="F346" s="14">
        <v>43056</v>
      </c>
      <c r="G346" s="25">
        <f>YEAR(Employees_Tbl[[#This Row],[HIRE DATE]])</f>
        <v>2017</v>
      </c>
      <c r="H346" s="11" t="s">
        <v>217</v>
      </c>
      <c r="I346" s="11" t="s">
        <v>218</v>
      </c>
      <c r="J346" s="12">
        <v>51300</v>
      </c>
      <c r="K346" s="12">
        <v>1000</v>
      </c>
      <c r="L346" s="13">
        <v>38200</v>
      </c>
      <c r="M346" s="13">
        <f>SUM(Employees_Tbl[[#This Row],[BASE SALARY]:[COMMISSION]])</f>
        <v>90500</v>
      </c>
      <c r="N346" s="11">
        <v>14</v>
      </c>
      <c r="O346" s="11">
        <v>13</v>
      </c>
      <c r="P346" s="11">
        <v>5</v>
      </c>
    </row>
    <row r="347" spans="1:16" x14ac:dyDescent="0.25">
      <c r="A347" s="11" t="s">
        <v>1216</v>
      </c>
      <c r="B347" s="11" t="s">
        <v>331</v>
      </c>
      <c r="C347" s="11" t="s">
        <v>1217</v>
      </c>
      <c r="D347" s="11" t="str">
        <f>Employees_Tbl[[#This Row],[LAST]] &amp;"." &amp; Employees_Tbl[[#This Row],[FIRST]]</f>
        <v>Campos.Donna</v>
      </c>
      <c r="E347" s="11" t="s">
        <v>49</v>
      </c>
      <c r="F347" s="14">
        <v>43850</v>
      </c>
      <c r="G347" s="25">
        <f>YEAR(Employees_Tbl[[#This Row],[HIRE DATE]])</f>
        <v>2020</v>
      </c>
      <c r="H347" s="11" t="s">
        <v>217</v>
      </c>
      <c r="I347" s="11" t="s">
        <v>218</v>
      </c>
      <c r="J347" s="12">
        <v>50200</v>
      </c>
      <c r="K347" s="12">
        <v>1500</v>
      </c>
      <c r="L347" s="13">
        <v>11200</v>
      </c>
      <c r="M347" s="13">
        <f>SUM(Employees_Tbl[[#This Row],[BASE SALARY]:[COMMISSION]])</f>
        <v>62900</v>
      </c>
      <c r="N347" s="11">
        <v>11</v>
      </c>
      <c r="O347" s="11">
        <v>6</v>
      </c>
      <c r="P347" s="11">
        <v>5</v>
      </c>
    </row>
    <row r="348" spans="1:16" x14ac:dyDescent="0.25">
      <c r="A348" s="11" t="s">
        <v>1224</v>
      </c>
      <c r="B348" s="11" t="s">
        <v>1225</v>
      </c>
      <c r="C348" s="11" t="s">
        <v>1226</v>
      </c>
      <c r="D348" s="11" t="str">
        <f>Employees_Tbl[[#This Row],[LAST]] &amp;"." &amp; Employees_Tbl[[#This Row],[FIRST]]</f>
        <v>Mckenzie.Julia</v>
      </c>
      <c r="E348" s="11" t="s">
        <v>49</v>
      </c>
      <c r="F348" s="14">
        <v>44196</v>
      </c>
      <c r="G348" s="25">
        <f>YEAR(Employees_Tbl[[#This Row],[HIRE DATE]])</f>
        <v>2020</v>
      </c>
      <c r="H348" s="11" t="s">
        <v>217</v>
      </c>
      <c r="I348" s="11" t="s">
        <v>218</v>
      </c>
      <c r="J348" s="12">
        <v>43300</v>
      </c>
      <c r="K348" s="12">
        <v>1000</v>
      </c>
      <c r="L348" s="13">
        <v>56400</v>
      </c>
      <c r="M348" s="13">
        <f>SUM(Employees_Tbl[[#This Row],[BASE SALARY]:[COMMISSION]])</f>
        <v>100700</v>
      </c>
      <c r="N348" s="11">
        <v>12</v>
      </c>
      <c r="O348" s="11">
        <v>5</v>
      </c>
      <c r="P348" s="11">
        <v>4</v>
      </c>
    </row>
    <row r="349" spans="1:16" x14ac:dyDescent="0.25">
      <c r="A349" s="11" t="s">
        <v>1368</v>
      </c>
      <c r="B349" s="11" t="s">
        <v>426</v>
      </c>
      <c r="C349" s="11" t="s">
        <v>427</v>
      </c>
      <c r="D349" s="11" t="str">
        <f>Employees_Tbl[[#This Row],[LAST]] &amp;"." &amp; Employees_Tbl[[#This Row],[FIRST]]</f>
        <v>Simmons.Phillip</v>
      </c>
      <c r="E349" s="11" t="s">
        <v>49</v>
      </c>
      <c r="F349" s="14">
        <v>42637</v>
      </c>
      <c r="G349" s="25">
        <f>YEAR(Employees_Tbl[[#This Row],[HIRE DATE]])</f>
        <v>2016</v>
      </c>
      <c r="H349" s="11" t="s">
        <v>217</v>
      </c>
      <c r="I349" s="11" t="s">
        <v>218</v>
      </c>
      <c r="J349" s="12">
        <v>42900</v>
      </c>
      <c r="K349" s="12">
        <v>1500</v>
      </c>
      <c r="L349" s="13">
        <v>36100</v>
      </c>
      <c r="M349" s="13">
        <f>SUM(Employees_Tbl[[#This Row],[BASE SALARY]:[COMMISSION]])</f>
        <v>80500</v>
      </c>
      <c r="N349" s="11">
        <v>11</v>
      </c>
      <c r="O349" s="11">
        <v>6</v>
      </c>
      <c r="P349" s="11">
        <v>4</v>
      </c>
    </row>
    <row r="350" spans="1:16" x14ac:dyDescent="0.25">
      <c r="A350" s="11" t="s">
        <v>237</v>
      </c>
      <c r="B350" s="11" t="s">
        <v>238</v>
      </c>
      <c r="C350" s="11" t="s">
        <v>239</v>
      </c>
      <c r="D350" s="11" t="str">
        <f>Employees_Tbl[[#This Row],[LAST]] &amp;"." &amp; Employees_Tbl[[#This Row],[FIRST]]</f>
        <v>Roberson.Tom</v>
      </c>
      <c r="E350" s="11" t="s">
        <v>49</v>
      </c>
      <c r="F350" s="14">
        <v>41721</v>
      </c>
      <c r="G350" s="25">
        <f>YEAR(Employees_Tbl[[#This Row],[HIRE DATE]])</f>
        <v>2014</v>
      </c>
      <c r="H350" s="11" t="s">
        <v>217</v>
      </c>
      <c r="I350" s="11" t="s">
        <v>218</v>
      </c>
      <c r="J350" s="12">
        <v>37900</v>
      </c>
      <c r="K350" s="12">
        <v>1000</v>
      </c>
      <c r="L350" s="13">
        <v>22400</v>
      </c>
      <c r="M350" s="13">
        <f>SUM(Employees_Tbl[[#This Row],[BASE SALARY]:[COMMISSION]])</f>
        <v>61300</v>
      </c>
      <c r="N350" s="11">
        <v>13</v>
      </c>
      <c r="O350" s="11">
        <v>6</v>
      </c>
      <c r="P350" s="11">
        <v>4</v>
      </c>
    </row>
    <row r="351" spans="1:16" x14ac:dyDescent="0.25">
      <c r="A351" s="11" t="s">
        <v>981</v>
      </c>
      <c r="B351" s="11" t="s">
        <v>982</v>
      </c>
      <c r="C351" s="11" t="s">
        <v>983</v>
      </c>
      <c r="D351" s="11" t="str">
        <f>Employees_Tbl[[#This Row],[LAST]] &amp;"." &amp; Employees_Tbl[[#This Row],[FIRST]]</f>
        <v>Robertson.Krissy</v>
      </c>
      <c r="E351" s="11" t="s">
        <v>49</v>
      </c>
      <c r="F351" s="14">
        <v>43793</v>
      </c>
      <c r="G351" s="25">
        <f>YEAR(Employees_Tbl[[#This Row],[HIRE DATE]])</f>
        <v>2019</v>
      </c>
      <c r="H351" s="11" t="s">
        <v>217</v>
      </c>
      <c r="I351" s="11" t="s">
        <v>218</v>
      </c>
      <c r="J351" s="12">
        <v>34900</v>
      </c>
      <c r="K351" s="12">
        <v>1000</v>
      </c>
      <c r="L351" s="13">
        <v>41000</v>
      </c>
      <c r="M351" s="13">
        <f>SUM(Employees_Tbl[[#This Row],[BASE SALARY]:[COMMISSION]])</f>
        <v>76900</v>
      </c>
      <c r="N351" s="11">
        <v>14</v>
      </c>
      <c r="O351" s="11">
        <v>6</v>
      </c>
      <c r="P351" s="11">
        <v>4</v>
      </c>
    </row>
    <row r="352" spans="1:16" x14ac:dyDescent="0.25">
      <c r="A352" s="11" t="s">
        <v>243</v>
      </c>
      <c r="B352" s="11" t="s">
        <v>244</v>
      </c>
      <c r="C352" s="11" t="s">
        <v>245</v>
      </c>
      <c r="D352" s="11" t="str">
        <f>Employees_Tbl[[#This Row],[LAST]] &amp;"." &amp; Employees_Tbl[[#This Row],[FIRST]]</f>
        <v>Bristow.Amos</v>
      </c>
      <c r="E352" s="11" t="s">
        <v>49</v>
      </c>
      <c r="F352" s="14">
        <v>41738</v>
      </c>
      <c r="G352" s="25">
        <f>YEAR(Employees_Tbl[[#This Row],[HIRE DATE]])</f>
        <v>2014</v>
      </c>
      <c r="H352" s="11" t="s">
        <v>217</v>
      </c>
      <c r="I352" s="11" t="s">
        <v>218</v>
      </c>
      <c r="J352" s="12">
        <v>34200</v>
      </c>
      <c r="K352" s="12">
        <v>1000</v>
      </c>
      <c r="L352" s="13">
        <v>38800</v>
      </c>
      <c r="M352" s="13">
        <f>SUM(Employees_Tbl[[#This Row],[BASE SALARY]:[COMMISSION]])</f>
        <v>74000</v>
      </c>
      <c r="N352" s="11">
        <v>12</v>
      </c>
      <c r="O352" s="11">
        <v>9</v>
      </c>
      <c r="P352" s="11">
        <v>4</v>
      </c>
    </row>
    <row r="353" spans="1:16" x14ac:dyDescent="0.25">
      <c r="A353" s="11" t="s">
        <v>240</v>
      </c>
      <c r="B353" s="11" t="s">
        <v>241</v>
      </c>
      <c r="C353" s="11" t="s">
        <v>242</v>
      </c>
      <c r="D353" s="11" t="str">
        <f>Employees_Tbl[[#This Row],[LAST]] &amp;"." &amp; Employees_Tbl[[#This Row],[FIRST]]</f>
        <v>Shin.Brian</v>
      </c>
      <c r="E353" s="11" t="s">
        <v>49</v>
      </c>
      <c r="F353" s="14">
        <v>41944</v>
      </c>
      <c r="G353" s="25">
        <f>YEAR(Employees_Tbl[[#This Row],[HIRE DATE]])</f>
        <v>2014</v>
      </c>
      <c r="H353" s="11" t="s">
        <v>217</v>
      </c>
      <c r="I353" s="11" t="s">
        <v>218</v>
      </c>
      <c r="J353" s="12">
        <v>33100</v>
      </c>
      <c r="K353" s="12">
        <v>1000</v>
      </c>
      <c r="L353" s="13">
        <v>26600</v>
      </c>
      <c r="M353" s="13">
        <f>SUM(Employees_Tbl[[#This Row],[BASE SALARY]:[COMMISSION]])</f>
        <v>60700</v>
      </c>
      <c r="N353" s="11">
        <v>18</v>
      </c>
      <c r="O353" s="11">
        <v>6</v>
      </c>
      <c r="P353" s="11">
        <v>5</v>
      </c>
    </row>
    <row r="354" spans="1:16" x14ac:dyDescent="0.25">
      <c r="A354" s="11" t="s">
        <v>837</v>
      </c>
      <c r="B354" s="11" t="s">
        <v>518</v>
      </c>
      <c r="C354" s="11" t="s">
        <v>838</v>
      </c>
      <c r="D354" s="11" t="str">
        <f>Employees_Tbl[[#This Row],[LAST]] &amp;"." &amp; Employees_Tbl[[#This Row],[FIRST]]</f>
        <v>Steiner.Sherry</v>
      </c>
      <c r="E354" s="11" t="s">
        <v>49</v>
      </c>
      <c r="F354" s="14">
        <v>43464</v>
      </c>
      <c r="G354" s="25">
        <f>YEAR(Employees_Tbl[[#This Row],[HIRE DATE]])</f>
        <v>2018</v>
      </c>
      <c r="H354" s="11" t="s">
        <v>217</v>
      </c>
      <c r="I354" s="11" t="s">
        <v>218</v>
      </c>
      <c r="J354" s="12">
        <v>33100</v>
      </c>
      <c r="K354" s="12">
        <v>1000</v>
      </c>
      <c r="L354" s="13">
        <v>52000</v>
      </c>
      <c r="M354" s="13">
        <f>SUM(Employees_Tbl[[#This Row],[BASE SALARY]:[COMMISSION]])</f>
        <v>86100</v>
      </c>
      <c r="N354" s="11">
        <v>13</v>
      </c>
      <c r="O354" s="11">
        <v>9</v>
      </c>
      <c r="P354" s="11">
        <v>4</v>
      </c>
    </row>
    <row r="355" spans="1:16" x14ac:dyDescent="0.25">
      <c r="A355" s="11" t="s">
        <v>1218</v>
      </c>
      <c r="B355" s="11" t="s">
        <v>714</v>
      </c>
      <c r="C355" s="11" t="s">
        <v>103</v>
      </c>
      <c r="D355" s="11" t="str">
        <f>Employees_Tbl[[#This Row],[LAST]] &amp;"." &amp; Employees_Tbl[[#This Row],[FIRST]]</f>
        <v>Thomas.Donald</v>
      </c>
      <c r="E355" s="11" t="s">
        <v>49</v>
      </c>
      <c r="F355" s="14">
        <v>44129</v>
      </c>
      <c r="G355" s="25">
        <f>YEAR(Employees_Tbl[[#This Row],[HIRE DATE]])</f>
        <v>2020</v>
      </c>
      <c r="H355" s="11" t="s">
        <v>217</v>
      </c>
      <c r="I355" s="11" t="s">
        <v>218</v>
      </c>
      <c r="J355" s="12">
        <v>28600</v>
      </c>
      <c r="K355" s="12">
        <v>1000</v>
      </c>
      <c r="L355" s="13">
        <v>46200</v>
      </c>
      <c r="M355" s="13">
        <f>SUM(Employees_Tbl[[#This Row],[BASE SALARY]:[COMMISSION]])</f>
        <v>75800</v>
      </c>
      <c r="N355" s="11">
        <v>10</v>
      </c>
      <c r="O355" s="11">
        <v>9</v>
      </c>
      <c r="P355" s="11">
        <v>5</v>
      </c>
    </row>
    <row r="356" spans="1:16" x14ac:dyDescent="0.25">
      <c r="A356" s="11" t="s">
        <v>987</v>
      </c>
      <c r="B356" s="11" t="s">
        <v>91</v>
      </c>
      <c r="C356" s="11" t="s">
        <v>988</v>
      </c>
      <c r="D356" s="11" t="str">
        <f>Employees_Tbl[[#This Row],[LAST]] &amp;"." &amp; Employees_Tbl[[#This Row],[FIRST]]</f>
        <v>Hoffman.Robert</v>
      </c>
      <c r="E356" s="11" t="s">
        <v>53</v>
      </c>
      <c r="F356" s="14">
        <v>43745</v>
      </c>
      <c r="G356" s="25">
        <f>YEAR(Employees_Tbl[[#This Row],[HIRE DATE]])</f>
        <v>2019</v>
      </c>
      <c r="H356" s="11" t="s">
        <v>434</v>
      </c>
      <c r="I356" s="11" t="s">
        <v>435</v>
      </c>
      <c r="J356" s="12">
        <v>124100</v>
      </c>
      <c r="K356" s="12">
        <v>3500</v>
      </c>
      <c r="L356" s="13">
        <v>0</v>
      </c>
      <c r="M356" s="13">
        <f>SUM(Employees_Tbl[[#This Row],[BASE SALARY]:[COMMISSION]])</f>
        <v>127600</v>
      </c>
      <c r="N356" s="11">
        <v>17</v>
      </c>
      <c r="O356" s="11">
        <v>2</v>
      </c>
      <c r="P356" s="11">
        <v>4</v>
      </c>
    </row>
    <row r="357" spans="1:16" x14ac:dyDescent="0.25">
      <c r="A357" s="11" t="s">
        <v>442</v>
      </c>
      <c r="B357" s="11" t="s">
        <v>193</v>
      </c>
      <c r="C357" s="11" t="s">
        <v>443</v>
      </c>
      <c r="D357" s="11" t="str">
        <f>Employees_Tbl[[#This Row],[LAST]] &amp;"." &amp; Employees_Tbl[[#This Row],[FIRST]]</f>
        <v>Anderson.Patricia</v>
      </c>
      <c r="E357" s="11" t="s">
        <v>53</v>
      </c>
      <c r="F357" s="14">
        <v>42398</v>
      </c>
      <c r="G357" s="25">
        <f>YEAR(Employees_Tbl[[#This Row],[HIRE DATE]])</f>
        <v>2016</v>
      </c>
      <c r="H357" s="11" t="s">
        <v>434</v>
      </c>
      <c r="I357" s="11" t="s">
        <v>435</v>
      </c>
      <c r="J357" s="12">
        <v>107600</v>
      </c>
      <c r="K357" s="12">
        <v>4000</v>
      </c>
      <c r="L357" s="13">
        <v>0</v>
      </c>
      <c r="M357" s="13">
        <f>SUM(Employees_Tbl[[#This Row],[BASE SALARY]:[COMMISSION]])</f>
        <v>111600</v>
      </c>
      <c r="N357" s="11">
        <v>10</v>
      </c>
      <c r="O357" s="11">
        <v>9</v>
      </c>
      <c r="P357" s="11">
        <v>5</v>
      </c>
    </row>
    <row r="358" spans="1:16" x14ac:dyDescent="0.25">
      <c r="A358" s="11" t="s">
        <v>629</v>
      </c>
      <c r="B358" s="11" t="s">
        <v>630</v>
      </c>
      <c r="C358" s="11" t="s">
        <v>631</v>
      </c>
      <c r="D358" s="11" t="str">
        <f>Employees_Tbl[[#This Row],[LAST]] &amp;"." &amp; Employees_Tbl[[#This Row],[FIRST]]</f>
        <v>Grace.Mathew</v>
      </c>
      <c r="E358" s="11" t="s">
        <v>53</v>
      </c>
      <c r="F358" s="14">
        <v>42893</v>
      </c>
      <c r="G358" s="25">
        <f>YEAR(Employees_Tbl[[#This Row],[HIRE DATE]])</f>
        <v>2017</v>
      </c>
      <c r="H358" s="11" t="s">
        <v>434</v>
      </c>
      <c r="I358" s="11" t="s">
        <v>435</v>
      </c>
      <c r="J358" s="12">
        <v>87500</v>
      </c>
      <c r="K358" s="12">
        <v>2500</v>
      </c>
      <c r="L358" s="13">
        <v>0</v>
      </c>
      <c r="M358" s="13">
        <f>SUM(Employees_Tbl[[#This Row],[BASE SALARY]:[COMMISSION]])</f>
        <v>90000</v>
      </c>
      <c r="N358" s="11">
        <v>18</v>
      </c>
      <c r="O358" s="11">
        <v>5</v>
      </c>
      <c r="P358" s="11">
        <v>3</v>
      </c>
    </row>
    <row r="359" spans="1:16" x14ac:dyDescent="0.25">
      <c r="A359" s="11" t="s">
        <v>1234</v>
      </c>
      <c r="B359" s="11" t="s">
        <v>377</v>
      </c>
      <c r="C359" s="11" t="s">
        <v>141</v>
      </c>
      <c r="D359" s="11" t="str">
        <f>Employees_Tbl[[#This Row],[LAST]] &amp;"." &amp; Employees_Tbl[[#This Row],[FIRST]]</f>
        <v>Myers.Frances</v>
      </c>
      <c r="E359" s="11" t="s">
        <v>53</v>
      </c>
      <c r="F359" s="14">
        <v>44007</v>
      </c>
      <c r="G359" s="25">
        <f>YEAR(Employees_Tbl[[#This Row],[HIRE DATE]])</f>
        <v>2020</v>
      </c>
      <c r="H359" s="11" t="s">
        <v>434</v>
      </c>
      <c r="I359" s="11" t="s">
        <v>435</v>
      </c>
      <c r="J359" s="12">
        <v>77800</v>
      </c>
      <c r="K359" s="12">
        <v>3000</v>
      </c>
      <c r="L359" s="13">
        <v>0</v>
      </c>
      <c r="M359" s="13">
        <f>SUM(Employees_Tbl[[#This Row],[BASE SALARY]:[COMMISSION]])</f>
        <v>80800</v>
      </c>
      <c r="N359" s="11">
        <v>17</v>
      </c>
      <c r="O359" s="11">
        <v>5</v>
      </c>
      <c r="P359" s="11">
        <v>5</v>
      </c>
    </row>
    <row r="360" spans="1:16" x14ac:dyDescent="0.25">
      <c r="A360" s="11" t="s">
        <v>844</v>
      </c>
      <c r="B360" s="11" t="s">
        <v>134</v>
      </c>
      <c r="C360" s="11" t="s">
        <v>845</v>
      </c>
      <c r="D360" s="11" t="str">
        <f>Employees_Tbl[[#This Row],[LAST]] &amp;"." &amp; Employees_Tbl[[#This Row],[FIRST]]</f>
        <v>Noriega.James</v>
      </c>
      <c r="E360" s="11" t="s">
        <v>53</v>
      </c>
      <c r="F360" s="14">
        <v>43189</v>
      </c>
      <c r="G360" s="25">
        <f>YEAR(Employees_Tbl[[#This Row],[HIRE DATE]])</f>
        <v>2018</v>
      </c>
      <c r="H360" s="11" t="s">
        <v>434</v>
      </c>
      <c r="I360" s="11" t="s">
        <v>435</v>
      </c>
      <c r="J360" s="12">
        <v>75500</v>
      </c>
      <c r="K360" s="12">
        <v>2500</v>
      </c>
      <c r="L360" s="13">
        <v>0</v>
      </c>
      <c r="M360" s="13">
        <f>SUM(Employees_Tbl[[#This Row],[BASE SALARY]:[COMMISSION]])</f>
        <v>78000</v>
      </c>
      <c r="N360" s="11">
        <v>15</v>
      </c>
      <c r="O360" s="11">
        <v>6</v>
      </c>
      <c r="P360" s="11">
        <v>5</v>
      </c>
    </row>
    <row r="361" spans="1:16" x14ac:dyDescent="0.25">
      <c r="A361" s="11" t="s">
        <v>439</v>
      </c>
      <c r="B361" s="11" t="s">
        <v>440</v>
      </c>
      <c r="C361" s="11" t="s">
        <v>441</v>
      </c>
      <c r="D361" s="11" t="str">
        <f>Employees_Tbl[[#This Row],[LAST]] &amp;"." &amp; Employees_Tbl[[#This Row],[FIRST]]</f>
        <v>Fuchs.Sean</v>
      </c>
      <c r="E361" s="11" t="s">
        <v>53</v>
      </c>
      <c r="F361" s="14">
        <v>42462</v>
      </c>
      <c r="G361" s="25">
        <f>YEAR(Employees_Tbl[[#This Row],[HIRE DATE]])</f>
        <v>2016</v>
      </c>
      <c r="H361" s="11" t="s">
        <v>434</v>
      </c>
      <c r="I361" s="11" t="s">
        <v>435</v>
      </c>
      <c r="J361" s="12">
        <v>73000</v>
      </c>
      <c r="K361" s="12">
        <v>2000</v>
      </c>
      <c r="L361" s="13">
        <v>0</v>
      </c>
      <c r="M361" s="13">
        <f>SUM(Employees_Tbl[[#This Row],[BASE SALARY]:[COMMISSION]])</f>
        <v>75000</v>
      </c>
      <c r="N361" s="11">
        <v>18</v>
      </c>
      <c r="O361" s="11">
        <v>3</v>
      </c>
      <c r="P361" s="11">
        <v>3</v>
      </c>
    </row>
    <row r="362" spans="1:16" x14ac:dyDescent="0.25">
      <c r="A362" s="11" t="s">
        <v>843</v>
      </c>
      <c r="B362" s="11" t="s">
        <v>94</v>
      </c>
      <c r="C362" s="11" t="s">
        <v>430</v>
      </c>
      <c r="D362" s="11" t="str">
        <f>Employees_Tbl[[#This Row],[LAST]] &amp;"." &amp; Employees_Tbl[[#This Row],[FIRST]]</f>
        <v>Snow.John</v>
      </c>
      <c r="E362" s="11" t="s">
        <v>53</v>
      </c>
      <c r="F362" s="14">
        <v>43266</v>
      </c>
      <c r="G362" s="25">
        <f>YEAR(Employees_Tbl[[#This Row],[HIRE DATE]])</f>
        <v>2018</v>
      </c>
      <c r="H362" s="11" t="s">
        <v>434</v>
      </c>
      <c r="I362" s="11" t="s">
        <v>435</v>
      </c>
      <c r="J362" s="12">
        <v>68800</v>
      </c>
      <c r="K362" s="12">
        <v>2000</v>
      </c>
      <c r="L362" s="13">
        <v>0</v>
      </c>
      <c r="M362" s="13">
        <f>SUM(Employees_Tbl[[#This Row],[BASE SALARY]:[COMMISSION]])</f>
        <v>70800</v>
      </c>
      <c r="N362" s="11">
        <v>13</v>
      </c>
      <c r="O362" s="11">
        <v>5</v>
      </c>
      <c r="P362" s="11">
        <v>4</v>
      </c>
    </row>
    <row r="363" spans="1:16" x14ac:dyDescent="0.25">
      <c r="A363" s="11" t="s">
        <v>841</v>
      </c>
      <c r="B363" s="11" t="s">
        <v>842</v>
      </c>
      <c r="C363" s="11" t="s">
        <v>794</v>
      </c>
      <c r="D363" s="11" t="str">
        <f>Employees_Tbl[[#This Row],[LAST]] &amp;"." &amp; Employees_Tbl[[#This Row],[FIRST]]</f>
        <v>Price.Chester</v>
      </c>
      <c r="E363" s="11" t="s">
        <v>53</v>
      </c>
      <c r="F363" s="14">
        <v>43147</v>
      </c>
      <c r="G363" s="25">
        <f>YEAR(Employees_Tbl[[#This Row],[HIRE DATE]])</f>
        <v>2018</v>
      </c>
      <c r="H363" s="11" t="s">
        <v>434</v>
      </c>
      <c r="I363" s="11" t="s">
        <v>435</v>
      </c>
      <c r="J363" s="12">
        <v>68000</v>
      </c>
      <c r="K363" s="12">
        <v>1000</v>
      </c>
      <c r="L363" s="13">
        <v>0</v>
      </c>
      <c r="M363" s="13">
        <f>SUM(Employees_Tbl[[#This Row],[BASE SALARY]:[COMMISSION]])</f>
        <v>69000</v>
      </c>
      <c r="N363" s="11">
        <v>16</v>
      </c>
      <c r="O363" s="11">
        <v>8</v>
      </c>
      <c r="P363" s="11">
        <v>3</v>
      </c>
    </row>
    <row r="364" spans="1:16" x14ac:dyDescent="0.25">
      <c r="A364" s="11" t="s">
        <v>1231</v>
      </c>
      <c r="B364" s="11" t="s">
        <v>1232</v>
      </c>
      <c r="C364" s="11" t="s">
        <v>1233</v>
      </c>
      <c r="D364" s="11" t="str">
        <f>Employees_Tbl[[#This Row],[LAST]] &amp;"." &amp; Employees_Tbl[[#This Row],[FIRST]]</f>
        <v>Faucett.Priscilla</v>
      </c>
      <c r="E364" s="11" t="s">
        <v>53</v>
      </c>
      <c r="F364" s="14">
        <v>43923</v>
      </c>
      <c r="G364" s="25">
        <f>YEAR(Employees_Tbl[[#This Row],[HIRE DATE]])</f>
        <v>2020</v>
      </c>
      <c r="H364" s="11" t="s">
        <v>434</v>
      </c>
      <c r="I364" s="11" t="s">
        <v>435</v>
      </c>
      <c r="J364" s="12">
        <v>64000</v>
      </c>
      <c r="K364" s="12">
        <v>2000</v>
      </c>
      <c r="L364" s="13">
        <v>0</v>
      </c>
      <c r="M364" s="13">
        <f>SUM(Employees_Tbl[[#This Row],[BASE SALARY]:[COMMISSION]])</f>
        <v>66000</v>
      </c>
      <c r="N364" s="11">
        <v>16</v>
      </c>
      <c r="O364" s="11">
        <v>5</v>
      </c>
      <c r="P364" s="11">
        <v>4</v>
      </c>
    </row>
    <row r="365" spans="1:16" x14ac:dyDescent="0.25">
      <c r="A365" s="11" t="s">
        <v>436</v>
      </c>
      <c r="B365" s="11" t="s">
        <v>437</v>
      </c>
      <c r="C365" s="11" t="s">
        <v>438</v>
      </c>
      <c r="D365" s="11" t="str">
        <f>Employees_Tbl[[#This Row],[LAST]] &amp;"." &amp; Employees_Tbl[[#This Row],[FIRST]]</f>
        <v>Sorrentino.Joey</v>
      </c>
      <c r="E365" s="11" t="s">
        <v>53</v>
      </c>
      <c r="F365" s="14">
        <v>42435</v>
      </c>
      <c r="G365" s="25">
        <f>YEAR(Employees_Tbl[[#This Row],[HIRE DATE]])</f>
        <v>2016</v>
      </c>
      <c r="H365" s="11" t="s">
        <v>434</v>
      </c>
      <c r="I365" s="11" t="s">
        <v>435</v>
      </c>
      <c r="J365" s="12">
        <v>55300</v>
      </c>
      <c r="K365" s="12">
        <v>1500</v>
      </c>
      <c r="L365" s="13">
        <v>0</v>
      </c>
      <c r="M365" s="13">
        <f>SUM(Employees_Tbl[[#This Row],[BASE SALARY]:[COMMISSION]])</f>
        <v>56800</v>
      </c>
      <c r="N365" s="11">
        <v>18</v>
      </c>
      <c r="O365" s="11">
        <v>4</v>
      </c>
      <c r="P365" s="11">
        <v>4</v>
      </c>
    </row>
    <row r="366" spans="1:16" x14ac:dyDescent="0.25">
      <c r="A366" s="11" t="s">
        <v>839</v>
      </c>
      <c r="B366" s="11" t="s">
        <v>35</v>
      </c>
      <c r="C366" s="11" t="s">
        <v>840</v>
      </c>
      <c r="D366" s="11" t="str">
        <f>Employees_Tbl[[#This Row],[LAST]] &amp;"." &amp; Employees_Tbl[[#This Row],[FIRST]]</f>
        <v>Nickles.Charles</v>
      </c>
      <c r="E366" s="11" t="s">
        <v>53</v>
      </c>
      <c r="F366" s="14">
        <v>43142</v>
      </c>
      <c r="G366" s="25">
        <f>YEAR(Employees_Tbl[[#This Row],[HIRE DATE]])</f>
        <v>2018</v>
      </c>
      <c r="H366" s="11" t="s">
        <v>434</v>
      </c>
      <c r="I366" s="11" t="s">
        <v>435</v>
      </c>
      <c r="J366" s="12">
        <v>48900</v>
      </c>
      <c r="K366" s="12">
        <v>1500</v>
      </c>
      <c r="L366" s="13">
        <v>0</v>
      </c>
      <c r="M366" s="13">
        <f>SUM(Employees_Tbl[[#This Row],[BASE SALARY]:[COMMISSION]])</f>
        <v>50400</v>
      </c>
      <c r="N366" s="11">
        <v>18</v>
      </c>
      <c r="O366" s="11">
        <v>2</v>
      </c>
      <c r="P366" s="11">
        <v>4</v>
      </c>
    </row>
    <row r="367" spans="1:16" x14ac:dyDescent="0.25">
      <c r="A367" s="11" t="s">
        <v>1230</v>
      </c>
      <c r="B367" s="11" t="s">
        <v>468</v>
      </c>
      <c r="C367" s="11" t="s">
        <v>543</v>
      </c>
      <c r="D367" s="11" t="str">
        <f>Employees_Tbl[[#This Row],[LAST]] &amp;"." &amp; Employees_Tbl[[#This Row],[FIRST]]</f>
        <v>Morris.Mary</v>
      </c>
      <c r="E367" s="11" t="s">
        <v>53</v>
      </c>
      <c r="F367" s="14">
        <v>43982</v>
      </c>
      <c r="G367" s="25">
        <f>YEAR(Employees_Tbl[[#This Row],[HIRE DATE]])</f>
        <v>2020</v>
      </c>
      <c r="H367" s="11" t="s">
        <v>434</v>
      </c>
      <c r="I367" s="11" t="s">
        <v>435</v>
      </c>
      <c r="J367" s="12">
        <v>48400</v>
      </c>
      <c r="K367" s="12">
        <v>1000</v>
      </c>
      <c r="L367" s="13">
        <v>0</v>
      </c>
      <c r="M367" s="13">
        <f>SUM(Employees_Tbl[[#This Row],[BASE SALARY]:[COMMISSION]])</f>
        <v>49400</v>
      </c>
      <c r="N367" s="11">
        <v>15</v>
      </c>
      <c r="O367" s="11">
        <v>8</v>
      </c>
      <c r="P367" s="11">
        <v>4</v>
      </c>
    </row>
    <row r="368" spans="1:16" x14ac:dyDescent="0.25">
      <c r="A368" s="11" t="s">
        <v>984</v>
      </c>
      <c r="B368" s="11" t="s">
        <v>985</v>
      </c>
      <c r="C368" s="11" t="s">
        <v>986</v>
      </c>
      <c r="D368" s="11" t="str">
        <f>Employees_Tbl[[#This Row],[LAST]] &amp;"." &amp; Employees_Tbl[[#This Row],[FIRST]]</f>
        <v>Santos.Mable</v>
      </c>
      <c r="E368" s="11" t="s">
        <v>53</v>
      </c>
      <c r="F368" s="14">
        <v>43814</v>
      </c>
      <c r="G368" s="25">
        <f>YEAR(Employees_Tbl[[#This Row],[HIRE DATE]])</f>
        <v>2019</v>
      </c>
      <c r="H368" s="11" t="s">
        <v>434</v>
      </c>
      <c r="I368" s="11" t="s">
        <v>435</v>
      </c>
      <c r="J368" s="12">
        <v>38700</v>
      </c>
      <c r="K368" s="12">
        <v>1000</v>
      </c>
      <c r="L368" s="13">
        <v>0</v>
      </c>
      <c r="M368" s="13">
        <f>SUM(Employees_Tbl[[#This Row],[BASE SALARY]:[COMMISSION]])</f>
        <v>39700</v>
      </c>
      <c r="N368" s="11">
        <v>14</v>
      </c>
      <c r="O368" s="11">
        <v>7</v>
      </c>
      <c r="P368" s="11">
        <v>4</v>
      </c>
    </row>
    <row r="369" spans="1:16" x14ac:dyDescent="0.25">
      <c r="A369" s="11" t="s">
        <v>1228</v>
      </c>
      <c r="B369" s="11" t="s">
        <v>1229</v>
      </c>
      <c r="C369" s="11" t="s">
        <v>103</v>
      </c>
      <c r="D369" s="11" t="str">
        <f>Employees_Tbl[[#This Row],[LAST]] &amp;"." &amp; Employees_Tbl[[#This Row],[FIRST]]</f>
        <v>Thomas.Cruz</v>
      </c>
      <c r="E369" s="11" t="s">
        <v>53</v>
      </c>
      <c r="F369" s="14">
        <v>44175</v>
      </c>
      <c r="G369" s="25">
        <f>YEAR(Employees_Tbl[[#This Row],[HIRE DATE]])</f>
        <v>2020</v>
      </c>
      <c r="H369" s="11" t="s">
        <v>434</v>
      </c>
      <c r="I369" s="11" t="s">
        <v>435</v>
      </c>
      <c r="J369" s="12">
        <v>36700</v>
      </c>
      <c r="K369" s="12">
        <v>1000</v>
      </c>
      <c r="L369" s="13">
        <v>0</v>
      </c>
      <c r="M369" s="13">
        <f>SUM(Employees_Tbl[[#This Row],[BASE SALARY]:[COMMISSION]])</f>
        <v>37700</v>
      </c>
      <c r="N369" s="11">
        <v>16</v>
      </c>
      <c r="O369" s="11">
        <v>4</v>
      </c>
      <c r="P369" s="11">
        <v>3</v>
      </c>
    </row>
    <row r="370" spans="1:16" x14ac:dyDescent="0.25">
      <c r="A370" s="11" t="s">
        <v>431</v>
      </c>
      <c r="B370" s="11" t="s">
        <v>432</v>
      </c>
      <c r="C370" s="11" t="s">
        <v>433</v>
      </c>
      <c r="D370" s="11" t="str">
        <f>Employees_Tbl[[#This Row],[LAST]] &amp;"." &amp; Employees_Tbl[[#This Row],[FIRST]]</f>
        <v>Ballard.Lisa</v>
      </c>
      <c r="E370" s="11" t="s">
        <v>53</v>
      </c>
      <c r="F370" s="14">
        <v>42624</v>
      </c>
      <c r="G370" s="25">
        <f>YEAR(Employees_Tbl[[#This Row],[HIRE DATE]])</f>
        <v>2016</v>
      </c>
      <c r="H370" s="11" t="s">
        <v>434</v>
      </c>
      <c r="I370" s="11" t="s">
        <v>435</v>
      </c>
      <c r="J370" s="12">
        <v>29500</v>
      </c>
      <c r="K370" s="12">
        <v>1000</v>
      </c>
      <c r="L370" s="13">
        <v>0</v>
      </c>
      <c r="M370" s="13">
        <f>SUM(Employees_Tbl[[#This Row],[BASE SALARY]:[COMMISSION]])</f>
        <v>30500</v>
      </c>
      <c r="N370" s="11">
        <v>13</v>
      </c>
      <c r="O370" s="11">
        <v>4</v>
      </c>
      <c r="P370" s="11">
        <v>4</v>
      </c>
    </row>
    <row r="371" spans="1:16" x14ac:dyDescent="0.25">
      <c r="A371" s="11" t="s">
        <v>470</v>
      </c>
      <c r="B371" s="11" t="s">
        <v>471</v>
      </c>
      <c r="C371" s="11" t="s">
        <v>472</v>
      </c>
      <c r="D371" s="11" t="str">
        <f>Employees_Tbl[[#This Row],[LAST]] &amp;"." &amp; Employees_Tbl[[#This Row],[FIRST]]</f>
        <v>Bernardi.Paula</v>
      </c>
      <c r="E371" s="11" t="s">
        <v>16</v>
      </c>
      <c r="F371" s="14">
        <v>42415</v>
      </c>
      <c r="G371" s="25">
        <f>YEAR(Employees_Tbl[[#This Row],[HIRE DATE]])</f>
        <v>2016</v>
      </c>
      <c r="H371" s="11" t="s">
        <v>434</v>
      </c>
      <c r="I371" s="11" t="s">
        <v>435</v>
      </c>
      <c r="J371" s="12">
        <v>156100</v>
      </c>
      <c r="K371" s="12">
        <v>4500</v>
      </c>
      <c r="L371" s="13">
        <v>0</v>
      </c>
      <c r="M371" s="13">
        <f>SUM(Employees_Tbl[[#This Row],[BASE SALARY]:[COMMISSION]])</f>
        <v>160600</v>
      </c>
      <c r="N371" s="11">
        <v>13</v>
      </c>
      <c r="O371" s="11">
        <v>7</v>
      </c>
      <c r="P371" s="11">
        <v>3</v>
      </c>
    </row>
    <row r="372" spans="1:16" x14ac:dyDescent="0.25">
      <c r="A372" s="11" t="s">
        <v>991</v>
      </c>
      <c r="B372" s="11" t="s">
        <v>992</v>
      </c>
      <c r="C372" s="11" t="s">
        <v>993</v>
      </c>
      <c r="D372" s="11" t="str">
        <f>Employees_Tbl[[#This Row],[LAST]] &amp;"." &amp; Employees_Tbl[[#This Row],[FIRST]]</f>
        <v>Gaither.Ila</v>
      </c>
      <c r="E372" s="11" t="s">
        <v>16</v>
      </c>
      <c r="F372" s="14">
        <v>43587</v>
      </c>
      <c r="G372" s="25">
        <f>YEAR(Employees_Tbl[[#This Row],[HIRE DATE]])</f>
        <v>2019</v>
      </c>
      <c r="H372" s="11" t="s">
        <v>434</v>
      </c>
      <c r="I372" s="11" t="s">
        <v>435</v>
      </c>
      <c r="J372" s="12">
        <v>121400</v>
      </c>
      <c r="K372" s="12">
        <v>4000</v>
      </c>
      <c r="L372" s="13">
        <v>0</v>
      </c>
      <c r="M372" s="13">
        <f>SUM(Employees_Tbl[[#This Row],[BASE SALARY]:[COMMISSION]])</f>
        <v>125400</v>
      </c>
      <c r="N372" s="11">
        <v>13</v>
      </c>
      <c r="O372" s="11">
        <v>9</v>
      </c>
      <c r="P372" s="11">
        <v>5</v>
      </c>
    </row>
    <row r="373" spans="1:16" x14ac:dyDescent="0.25">
      <c r="A373" s="11" t="s">
        <v>989</v>
      </c>
      <c r="B373" s="11" t="s">
        <v>223</v>
      </c>
      <c r="C373" s="11" t="s">
        <v>990</v>
      </c>
      <c r="D373" s="11" t="str">
        <f>Employees_Tbl[[#This Row],[LAST]] &amp;"." &amp; Employees_Tbl[[#This Row],[FIRST]]</f>
        <v>Fowlkes.Michael</v>
      </c>
      <c r="E373" s="11" t="s">
        <v>16</v>
      </c>
      <c r="F373" s="14">
        <v>43708</v>
      </c>
      <c r="G373" s="25">
        <f>YEAR(Employees_Tbl[[#This Row],[HIRE DATE]])</f>
        <v>2019</v>
      </c>
      <c r="H373" s="11" t="s">
        <v>434</v>
      </c>
      <c r="I373" s="11" t="s">
        <v>435</v>
      </c>
      <c r="J373" s="12">
        <v>112600</v>
      </c>
      <c r="K373" s="12">
        <v>4500</v>
      </c>
      <c r="L373" s="13">
        <v>0</v>
      </c>
      <c r="M373" s="13">
        <f>SUM(Employees_Tbl[[#This Row],[BASE SALARY]:[COMMISSION]])</f>
        <v>117100</v>
      </c>
      <c r="N373" s="11">
        <v>11</v>
      </c>
      <c r="O373" s="11">
        <v>2</v>
      </c>
      <c r="P373" s="11">
        <v>4</v>
      </c>
    </row>
    <row r="374" spans="1:16" x14ac:dyDescent="0.25">
      <c r="A374" s="11" t="s">
        <v>1241</v>
      </c>
      <c r="B374" s="11" t="s">
        <v>363</v>
      </c>
      <c r="C374" s="11" t="s">
        <v>1242</v>
      </c>
      <c r="D374" s="11" t="str">
        <f>Employees_Tbl[[#This Row],[LAST]] &amp;"." &amp; Employees_Tbl[[#This Row],[FIRST]]</f>
        <v>Hughley.Albert</v>
      </c>
      <c r="E374" s="11" t="s">
        <v>16</v>
      </c>
      <c r="F374" s="14">
        <v>43967</v>
      </c>
      <c r="G374" s="25">
        <f>YEAR(Employees_Tbl[[#This Row],[HIRE DATE]])</f>
        <v>2020</v>
      </c>
      <c r="H374" s="11" t="s">
        <v>434</v>
      </c>
      <c r="I374" s="11" t="s">
        <v>435</v>
      </c>
      <c r="J374" s="12">
        <v>104500</v>
      </c>
      <c r="K374" s="12">
        <v>2500</v>
      </c>
      <c r="L374" s="13">
        <v>0</v>
      </c>
      <c r="M374" s="13">
        <f>SUM(Employees_Tbl[[#This Row],[BASE SALARY]:[COMMISSION]])</f>
        <v>107000</v>
      </c>
      <c r="N374" s="11">
        <v>15</v>
      </c>
      <c r="O374" s="11">
        <v>5</v>
      </c>
      <c r="P374" s="11">
        <v>5</v>
      </c>
    </row>
    <row r="375" spans="1:16" x14ac:dyDescent="0.25">
      <c r="A375" s="11" t="s">
        <v>1239</v>
      </c>
      <c r="B375" s="11" t="s">
        <v>1240</v>
      </c>
      <c r="C375" s="11" t="s">
        <v>271</v>
      </c>
      <c r="D375" s="11" t="str">
        <f>Employees_Tbl[[#This Row],[LAST]] &amp;"." &amp; Employees_Tbl[[#This Row],[FIRST]]</f>
        <v>Smith.Dennis</v>
      </c>
      <c r="E375" s="11" t="s">
        <v>16</v>
      </c>
      <c r="F375" s="14">
        <v>44092</v>
      </c>
      <c r="G375" s="25">
        <f>YEAR(Employees_Tbl[[#This Row],[HIRE DATE]])</f>
        <v>2020</v>
      </c>
      <c r="H375" s="11" t="s">
        <v>434</v>
      </c>
      <c r="I375" s="11" t="s">
        <v>435</v>
      </c>
      <c r="J375" s="12">
        <v>66500</v>
      </c>
      <c r="K375" s="12">
        <v>2000</v>
      </c>
      <c r="L375" s="13">
        <v>0</v>
      </c>
      <c r="M375" s="13">
        <f>SUM(Employees_Tbl[[#This Row],[BASE SALARY]:[COMMISSION]])</f>
        <v>68500</v>
      </c>
      <c r="N375" s="11">
        <v>18</v>
      </c>
      <c r="O375" s="11">
        <v>5</v>
      </c>
      <c r="P375" s="11">
        <v>5</v>
      </c>
    </row>
    <row r="376" spans="1:16" x14ac:dyDescent="0.25">
      <c r="A376" s="11" t="s">
        <v>632</v>
      </c>
      <c r="B376" s="11" t="s">
        <v>633</v>
      </c>
      <c r="C376" s="11" t="s">
        <v>634</v>
      </c>
      <c r="D376" s="11" t="str">
        <f>Employees_Tbl[[#This Row],[LAST]] &amp;"." &amp; Employees_Tbl[[#This Row],[FIRST]]</f>
        <v>Howard.Alice</v>
      </c>
      <c r="E376" s="11" t="s">
        <v>16</v>
      </c>
      <c r="F376" s="14">
        <v>43085</v>
      </c>
      <c r="G376" s="25">
        <f>YEAR(Employees_Tbl[[#This Row],[HIRE DATE]])</f>
        <v>2017</v>
      </c>
      <c r="H376" s="11" t="s">
        <v>434</v>
      </c>
      <c r="I376" s="11" t="s">
        <v>435</v>
      </c>
      <c r="J376" s="12">
        <v>65600</v>
      </c>
      <c r="K376" s="12">
        <v>2000</v>
      </c>
      <c r="L376" s="13">
        <v>0</v>
      </c>
      <c r="M376" s="13">
        <f>SUM(Employees_Tbl[[#This Row],[BASE SALARY]:[COMMISSION]])</f>
        <v>67600</v>
      </c>
      <c r="N376" s="11">
        <v>14</v>
      </c>
      <c r="O376" s="11">
        <v>9</v>
      </c>
      <c r="P376" s="11">
        <v>5</v>
      </c>
    </row>
    <row r="377" spans="1:16" x14ac:dyDescent="0.25">
      <c r="A377" s="11" t="s">
        <v>444</v>
      </c>
      <c r="B377" s="11" t="s">
        <v>1333</v>
      </c>
      <c r="C377" s="11" t="s">
        <v>1334</v>
      </c>
      <c r="D377" s="11" t="str">
        <f>Employees_Tbl[[#This Row],[LAST]] &amp;"." &amp; Employees_Tbl[[#This Row],[FIRST]]</f>
        <v>Coleman.Wanda</v>
      </c>
      <c r="E377" s="11" t="s">
        <v>16</v>
      </c>
      <c r="F377" s="14">
        <v>42704</v>
      </c>
      <c r="G377" s="25">
        <f>YEAR(Employees_Tbl[[#This Row],[HIRE DATE]])</f>
        <v>2016</v>
      </c>
      <c r="H377" s="11" t="s">
        <v>434</v>
      </c>
      <c r="I377" s="11" t="s">
        <v>435</v>
      </c>
      <c r="J377" s="13">
        <v>60500</v>
      </c>
      <c r="K377" s="12">
        <v>2000</v>
      </c>
      <c r="L377" s="13">
        <v>0</v>
      </c>
      <c r="M377" s="13">
        <f>SUM(Employees_Tbl[[#This Row],[BASE SALARY]:[COMMISSION]])</f>
        <v>62500</v>
      </c>
      <c r="N377" s="11">
        <v>15</v>
      </c>
      <c r="O377" s="11">
        <v>7</v>
      </c>
      <c r="P377" s="11">
        <v>4</v>
      </c>
    </row>
    <row r="378" spans="1:16" x14ac:dyDescent="0.25">
      <c r="A378" s="11" t="s">
        <v>846</v>
      </c>
      <c r="B378" s="11" t="s">
        <v>56</v>
      </c>
      <c r="C378" s="11" t="s">
        <v>313</v>
      </c>
      <c r="D378" s="11" t="str">
        <f>Employees_Tbl[[#This Row],[LAST]] &amp;"." &amp; Employees_Tbl[[#This Row],[FIRST]]</f>
        <v>Miller.Deborah</v>
      </c>
      <c r="E378" s="11" t="s">
        <v>16</v>
      </c>
      <c r="F378" s="14">
        <v>43451</v>
      </c>
      <c r="G378" s="25">
        <f>YEAR(Employees_Tbl[[#This Row],[HIRE DATE]])</f>
        <v>2018</v>
      </c>
      <c r="H378" s="11" t="s">
        <v>434</v>
      </c>
      <c r="I378" s="11" t="s">
        <v>435</v>
      </c>
      <c r="J378" s="12">
        <v>43700</v>
      </c>
      <c r="K378" s="12">
        <v>1500</v>
      </c>
      <c r="L378" s="13">
        <v>0</v>
      </c>
      <c r="M378" s="13">
        <f>SUM(Employees_Tbl[[#This Row],[BASE SALARY]:[COMMISSION]])</f>
        <v>45200</v>
      </c>
      <c r="N378" s="11">
        <v>14</v>
      </c>
      <c r="O378" s="11">
        <v>7</v>
      </c>
      <c r="P378" s="11">
        <v>5</v>
      </c>
    </row>
    <row r="379" spans="1:16" x14ac:dyDescent="0.25">
      <c r="A379" s="11" t="s">
        <v>1237</v>
      </c>
      <c r="B379" s="11" t="s">
        <v>114</v>
      </c>
      <c r="C379" s="11" t="s">
        <v>1238</v>
      </c>
      <c r="D379" s="11" t="str">
        <f>Employees_Tbl[[#This Row],[LAST]] &amp;"." &amp; Employees_Tbl[[#This Row],[FIRST]]</f>
        <v>Scroggins.William</v>
      </c>
      <c r="E379" s="11" t="s">
        <v>16</v>
      </c>
      <c r="F379" s="14">
        <v>43993</v>
      </c>
      <c r="G379" s="25">
        <f>YEAR(Employees_Tbl[[#This Row],[HIRE DATE]])</f>
        <v>2020</v>
      </c>
      <c r="H379" s="11" t="s">
        <v>434</v>
      </c>
      <c r="I379" s="11" t="s">
        <v>435</v>
      </c>
      <c r="J379" s="12">
        <v>42500</v>
      </c>
      <c r="K379" s="12">
        <v>1500</v>
      </c>
      <c r="L379" s="13">
        <v>0</v>
      </c>
      <c r="M379" s="13">
        <f>SUM(Employees_Tbl[[#This Row],[BASE SALARY]:[COMMISSION]])</f>
        <v>44000</v>
      </c>
      <c r="N379" s="11">
        <v>18</v>
      </c>
      <c r="O379" s="11">
        <v>6</v>
      </c>
      <c r="P379" s="11">
        <v>5</v>
      </c>
    </row>
    <row r="380" spans="1:16" x14ac:dyDescent="0.25">
      <c r="A380" s="11" t="s">
        <v>1235</v>
      </c>
      <c r="B380" s="11" t="s">
        <v>556</v>
      </c>
      <c r="C380" s="11" t="s">
        <v>1236</v>
      </c>
      <c r="D380" s="11" t="str">
        <f>Employees_Tbl[[#This Row],[LAST]] &amp;"." &amp; Employees_Tbl[[#This Row],[FIRST]]</f>
        <v>Greco.Rebecca</v>
      </c>
      <c r="E380" s="11" t="s">
        <v>16</v>
      </c>
      <c r="F380" s="14">
        <v>43928</v>
      </c>
      <c r="G380" s="25">
        <f>YEAR(Employees_Tbl[[#This Row],[HIRE DATE]])</f>
        <v>2020</v>
      </c>
      <c r="H380" s="11" t="s">
        <v>434</v>
      </c>
      <c r="I380" s="11" t="s">
        <v>435</v>
      </c>
      <c r="J380" s="12">
        <v>38000</v>
      </c>
      <c r="K380" s="12">
        <v>1500</v>
      </c>
      <c r="L380" s="13">
        <v>0</v>
      </c>
      <c r="M380" s="13">
        <f>SUM(Employees_Tbl[[#This Row],[BASE SALARY]:[COMMISSION]])</f>
        <v>39500</v>
      </c>
      <c r="N380" s="11">
        <v>14</v>
      </c>
      <c r="O380" s="11">
        <v>10</v>
      </c>
      <c r="P380" s="11">
        <v>5</v>
      </c>
    </row>
    <row r="381" spans="1:16" x14ac:dyDescent="0.25">
      <c r="A381" s="11" t="s">
        <v>638</v>
      </c>
      <c r="B381" s="11" t="s">
        <v>639</v>
      </c>
      <c r="C381" s="11" t="s">
        <v>640</v>
      </c>
      <c r="D381" s="11" t="str">
        <f>Employees_Tbl[[#This Row],[LAST]] &amp;"." &amp; Employees_Tbl[[#This Row],[FIRST]]</f>
        <v>Brokaw.Bessie</v>
      </c>
      <c r="E381" s="11" t="s">
        <v>22</v>
      </c>
      <c r="F381" s="14">
        <v>43097</v>
      </c>
      <c r="G381" s="25">
        <f>YEAR(Employees_Tbl[[#This Row],[HIRE DATE]])</f>
        <v>2017</v>
      </c>
      <c r="H381" s="11" t="s">
        <v>434</v>
      </c>
      <c r="I381" s="11" t="s">
        <v>435</v>
      </c>
      <c r="J381" s="12">
        <v>47900</v>
      </c>
      <c r="K381" s="12">
        <v>1000</v>
      </c>
      <c r="L381" s="13">
        <v>0</v>
      </c>
      <c r="M381" s="13">
        <f>SUM(Employees_Tbl[[#This Row],[BASE SALARY]:[COMMISSION]])</f>
        <v>48900</v>
      </c>
      <c r="N381" s="11">
        <v>10</v>
      </c>
      <c r="O381" s="11">
        <v>11</v>
      </c>
      <c r="P381" s="11">
        <v>4</v>
      </c>
    </row>
    <row r="382" spans="1:16" x14ac:dyDescent="0.25">
      <c r="A382" s="11" t="s">
        <v>1243</v>
      </c>
      <c r="B382" s="11" t="s">
        <v>687</v>
      </c>
      <c r="C382" s="11" t="s">
        <v>1244</v>
      </c>
      <c r="D382" s="11" t="str">
        <f>Employees_Tbl[[#This Row],[LAST]] &amp;"." &amp; Employees_Tbl[[#This Row],[FIRST]]</f>
        <v>Ramos.Jennifer</v>
      </c>
      <c r="E382" s="11" t="s">
        <v>22</v>
      </c>
      <c r="F382" s="14">
        <v>43847</v>
      </c>
      <c r="G382" s="25">
        <f>YEAR(Employees_Tbl[[#This Row],[HIRE DATE]])</f>
        <v>2020</v>
      </c>
      <c r="H382" s="11" t="s">
        <v>434</v>
      </c>
      <c r="I382" s="11" t="s">
        <v>435</v>
      </c>
      <c r="J382" s="12">
        <v>45900</v>
      </c>
      <c r="K382" s="12">
        <v>1000</v>
      </c>
      <c r="L382" s="13">
        <v>0</v>
      </c>
      <c r="M382" s="13">
        <f>SUM(Employees_Tbl[[#This Row],[BASE SALARY]:[COMMISSION]])</f>
        <v>46900</v>
      </c>
      <c r="N382" s="11">
        <v>17</v>
      </c>
      <c r="O382" s="11">
        <v>12</v>
      </c>
      <c r="P382" s="11">
        <v>4</v>
      </c>
    </row>
    <row r="383" spans="1:16" x14ac:dyDescent="0.25">
      <c r="A383" s="11" t="s">
        <v>635</v>
      </c>
      <c r="B383" s="11" t="s">
        <v>636</v>
      </c>
      <c r="C383" s="11" t="s">
        <v>637</v>
      </c>
      <c r="D383" s="11" t="str">
        <f>Employees_Tbl[[#This Row],[LAST]] &amp;"." &amp; Employees_Tbl[[#This Row],[FIRST]]</f>
        <v>Staten.Doyle</v>
      </c>
      <c r="E383" s="11" t="s">
        <v>22</v>
      </c>
      <c r="F383" s="14">
        <v>42952</v>
      </c>
      <c r="G383" s="25">
        <f>YEAR(Employees_Tbl[[#This Row],[HIRE DATE]])</f>
        <v>2017</v>
      </c>
      <c r="H383" s="11" t="s">
        <v>434</v>
      </c>
      <c r="I383" s="11" t="s">
        <v>435</v>
      </c>
      <c r="J383" s="12">
        <v>36100</v>
      </c>
      <c r="K383" s="12">
        <v>1500</v>
      </c>
      <c r="L383" s="13">
        <v>0</v>
      </c>
      <c r="M383" s="13">
        <f>SUM(Employees_Tbl[[#This Row],[BASE SALARY]:[COMMISSION]])</f>
        <v>37600</v>
      </c>
      <c r="N383" s="11">
        <v>13</v>
      </c>
      <c r="O383" s="11">
        <v>6</v>
      </c>
      <c r="P383" s="11">
        <v>4</v>
      </c>
    </row>
    <row r="384" spans="1:16" x14ac:dyDescent="0.25">
      <c r="A384" s="11" t="s">
        <v>847</v>
      </c>
      <c r="B384" s="11" t="s">
        <v>1348</v>
      </c>
      <c r="C384" s="11" t="s">
        <v>103</v>
      </c>
      <c r="D384" s="11" t="str">
        <f>Employees_Tbl[[#This Row],[LAST]] &amp;"." &amp; Employees_Tbl[[#This Row],[FIRST]]</f>
        <v>Thomas.Rodolfo</v>
      </c>
      <c r="E384" s="11" t="s">
        <v>22</v>
      </c>
      <c r="F384" s="14">
        <v>43157</v>
      </c>
      <c r="G384" s="25">
        <f>YEAR(Employees_Tbl[[#This Row],[HIRE DATE]])</f>
        <v>2018</v>
      </c>
      <c r="H384" s="11" t="s">
        <v>434</v>
      </c>
      <c r="I384" s="11" t="s">
        <v>435</v>
      </c>
      <c r="J384" s="13">
        <v>31700</v>
      </c>
      <c r="K384" s="12">
        <v>1000</v>
      </c>
      <c r="L384" s="13">
        <v>0</v>
      </c>
      <c r="M384" s="13">
        <f>SUM(Employees_Tbl[[#This Row],[BASE SALARY]:[COMMISSION]])</f>
        <v>32700</v>
      </c>
      <c r="N384" s="11">
        <v>11</v>
      </c>
      <c r="O384" s="11">
        <v>7</v>
      </c>
      <c r="P384" s="11">
        <v>5</v>
      </c>
    </row>
    <row r="385" spans="1:16" x14ac:dyDescent="0.25">
      <c r="A385" s="11" t="s">
        <v>1247</v>
      </c>
      <c r="B385" s="11" t="s">
        <v>1248</v>
      </c>
      <c r="C385" s="11" t="s">
        <v>1249</v>
      </c>
      <c r="D385" s="11" t="str">
        <f>Employees_Tbl[[#This Row],[LAST]] &amp;"." &amp; Employees_Tbl[[#This Row],[FIRST]]</f>
        <v>Hale.Elvia</v>
      </c>
      <c r="E385" s="11" t="s">
        <v>26</v>
      </c>
      <c r="F385" s="14">
        <v>43891</v>
      </c>
      <c r="G385" s="25">
        <f>YEAR(Employees_Tbl[[#This Row],[HIRE DATE]])</f>
        <v>2020</v>
      </c>
      <c r="H385" s="11" t="s">
        <v>434</v>
      </c>
      <c r="I385" s="11" t="s">
        <v>435</v>
      </c>
      <c r="J385" s="12">
        <v>76900</v>
      </c>
      <c r="K385" s="12">
        <v>3000</v>
      </c>
      <c r="L385" s="13">
        <v>0</v>
      </c>
      <c r="M385" s="13">
        <f>SUM(Employees_Tbl[[#This Row],[BASE SALARY]:[COMMISSION]])</f>
        <v>79900</v>
      </c>
      <c r="N385" s="11">
        <v>12</v>
      </c>
      <c r="O385" s="11">
        <v>4</v>
      </c>
      <c r="P385" s="11">
        <v>5</v>
      </c>
    </row>
    <row r="386" spans="1:16" x14ac:dyDescent="0.25">
      <c r="A386" s="11" t="s">
        <v>646</v>
      </c>
      <c r="B386" s="11" t="s">
        <v>1380</v>
      </c>
      <c r="C386" s="11" t="s">
        <v>1381</v>
      </c>
      <c r="D386" s="11" t="str">
        <f>Employees_Tbl[[#This Row],[LAST]] &amp;"." &amp; Employees_Tbl[[#This Row],[FIRST]]</f>
        <v>Qureshi.Lila</v>
      </c>
      <c r="E386" s="11" t="s">
        <v>26</v>
      </c>
      <c r="F386" s="14">
        <v>42888</v>
      </c>
      <c r="G386" s="25">
        <f>YEAR(Employees_Tbl[[#This Row],[HIRE DATE]])</f>
        <v>2017</v>
      </c>
      <c r="H386" s="11" t="s">
        <v>434</v>
      </c>
      <c r="I386" s="11" t="s">
        <v>435</v>
      </c>
      <c r="J386" s="12">
        <v>62600</v>
      </c>
      <c r="K386" s="12">
        <v>2000</v>
      </c>
      <c r="L386" s="13">
        <v>0</v>
      </c>
      <c r="M386" s="13">
        <f>SUM(Employees_Tbl[[#This Row],[BASE SALARY]:[COMMISSION]])</f>
        <v>64600</v>
      </c>
      <c r="N386" s="11">
        <v>10</v>
      </c>
      <c r="O386" s="11">
        <v>9</v>
      </c>
      <c r="P386" s="11">
        <v>4</v>
      </c>
    </row>
    <row r="387" spans="1:16" x14ac:dyDescent="0.25">
      <c r="A387" s="11" t="s">
        <v>643</v>
      </c>
      <c r="B387" s="11" t="s">
        <v>644</v>
      </c>
      <c r="C387" s="11" t="s">
        <v>645</v>
      </c>
      <c r="D387" s="11" t="str">
        <f>Employees_Tbl[[#This Row],[LAST]] &amp;"." &amp; Employees_Tbl[[#This Row],[FIRST]]</f>
        <v>Rice.Jessica</v>
      </c>
      <c r="E387" s="11" t="s">
        <v>26</v>
      </c>
      <c r="F387" s="14">
        <v>43020</v>
      </c>
      <c r="G387" s="25">
        <f>YEAR(Employees_Tbl[[#This Row],[HIRE DATE]])</f>
        <v>2017</v>
      </c>
      <c r="H387" s="11" t="s">
        <v>434</v>
      </c>
      <c r="I387" s="11" t="s">
        <v>435</v>
      </c>
      <c r="J387" s="12">
        <v>56600</v>
      </c>
      <c r="K387" s="12">
        <v>2000</v>
      </c>
      <c r="L387" s="13">
        <v>0</v>
      </c>
      <c r="M387" s="13">
        <f>SUM(Employees_Tbl[[#This Row],[BASE SALARY]:[COMMISSION]])</f>
        <v>58600</v>
      </c>
      <c r="N387" s="11">
        <v>14</v>
      </c>
      <c r="O387" s="11">
        <v>7</v>
      </c>
      <c r="P387" s="11">
        <v>2</v>
      </c>
    </row>
    <row r="388" spans="1:16" x14ac:dyDescent="0.25">
      <c r="A388" s="11" t="s">
        <v>445</v>
      </c>
      <c r="B388" s="11" t="s">
        <v>91</v>
      </c>
      <c r="C388" s="11" t="s">
        <v>446</v>
      </c>
      <c r="D388" s="11" t="str">
        <f>Employees_Tbl[[#This Row],[LAST]] &amp;"." &amp; Employees_Tbl[[#This Row],[FIRST]]</f>
        <v>Boaz.Robert</v>
      </c>
      <c r="E388" s="11" t="s">
        <v>26</v>
      </c>
      <c r="F388" s="14">
        <v>42678</v>
      </c>
      <c r="G388" s="25">
        <f>YEAR(Employees_Tbl[[#This Row],[HIRE DATE]])</f>
        <v>2016</v>
      </c>
      <c r="H388" s="11" t="s">
        <v>434</v>
      </c>
      <c r="I388" s="11" t="s">
        <v>435</v>
      </c>
      <c r="J388" s="12">
        <v>53200</v>
      </c>
      <c r="K388" s="12">
        <v>1000</v>
      </c>
      <c r="L388" s="13">
        <v>0</v>
      </c>
      <c r="M388" s="13">
        <f>SUM(Employees_Tbl[[#This Row],[BASE SALARY]:[COMMISSION]])</f>
        <v>54200</v>
      </c>
      <c r="N388" s="11">
        <v>15</v>
      </c>
      <c r="O388" s="11">
        <v>5</v>
      </c>
      <c r="P388" s="11">
        <v>4</v>
      </c>
    </row>
    <row r="389" spans="1:16" x14ac:dyDescent="0.25">
      <c r="A389" s="11" t="s">
        <v>447</v>
      </c>
      <c r="B389" s="11" t="s">
        <v>94</v>
      </c>
      <c r="C389" s="11" t="s">
        <v>448</v>
      </c>
      <c r="D389" s="11" t="str">
        <f>Employees_Tbl[[#This Row],[LAST]] &amp;"." &amp; Employees_Tbl[[#This Row],[FIRST]]</f>
        <v>Caldera.John</v>
      </c>
      <c r="E389" s="11" t="s">
        <v>26</v>
      </c>
      <c r="F389" s="14">
        <v>42530</v>
      </c>
      <c r="G389" s="25">
        <f>YEAR(Employees_Tbl[[#This Row],[HIRE DATE]])</f>
        <v>2016</v>
      </c>
      <c r="H389" s="11" t="s">
        <v>434</v>
      </c>
      <c r="I389" s="11" t="s">
        <v>435</v>
      </c>
      <c r="J389" s="12">
        <v>52300</v>
      </c>
      <c r="K389" s="12">
        <v>1500</v>
      </c>
      <c r="L389" s="13">
        <v>0</v>
      </c>
      <c r="M389" s="13">
        <f>SUM(Employees_Tbl[[#This Row],[BASE SALARY]:[COMMISSION]])</f>
        <v>53800</v>
      </c>
      <c r="N389" s="11">
        <v>15</v>
      </c>
      <c r="O389" s="11">
        <v>6</v>
      </c>
      <c r="P389" s="11">
        <v>3</v>
      </c>
    </row>
    <row r="390" spans="1:16" x14ac:dyDescent="0.25">
      <c r="A390" s="11" t="s">
        <v>1245</v>
      </c>
      <c r="B390" s="11" t="s">
        <v>812</v>
      </c>
      <c r="C390" s="11" t="s">
        <v>1246</v>
      </c>
      <c r="D390" s="11" t="str">
        <f>Employees_Tbl[[#This Row],[LAST]] &amp;"." &amp; Employees_Tbl[[#This Row],[FIRST]]</f>
        <v>Fontenot.Nicole</v>
      </c>
      <c r="E390" s="11" t="s">
        <v>26</v>
      </c>
      <c r="F390" s="14">
        <v>44153</v>
      </c>
      <c r="G390" s="25">
        <f>YEAR(Employees_Tbl[[#This Row],[HIRE DATE]])</f>
        <v>2020</v>
      </c>
      <c r="H390" s="11" t="s">
        <v>434</v>
      </c>
      <c r="I390" s="11" t="s">
        <v>435</v>
      </c>
      <c r="J390" s="12">
        <v>48300</v>
      </c>
      <c r="K390" s="12">
        <v>1500</v>
      </c>
      <c r="L390" s="13">
        <v>0</v>
      </c>
      <c r="M390" s="13">
        <f>SUM(Employees_Tbl[[#This Row],[BASE SALARY]:[COMMISSION]])</f>
        <v>49800</v>
      </c>
      <c r="N390" s="11">
        <v>14</v>
      </c>
      <c r="O390" s="11">
        <v>5</v>
      </c>
      <c r="P390" s="11">
        <v>5</v>
      </c>
    </row>
    <row r="391" spans="1:16" x14ac:dyDescent="0.25">
      <c r="A391" s="11" t="s">
        <v>641</v>
      </c>
      <c r="B391" s="11" t="s">
        <v>599</v>
      </c>
      <c r="C391" s="11" t="s">
        <v>642</v>
      </c>
      <c r="D391" s="11" t="str">
        <f>Employees_Tbl[[#This Row],[LAST]] &amp;"." &amp; Employees_Tbl[[#This Row],[FIRST]]</f>
        <v>Murdock.Courtney</v>
      </c>
      <c r="E391" s="11" t="s">
        <v>26</v>
      </c>
      <c r="F391" s="14">
        <v>43029</v>
      </c>
      <c r="G391" s="25">
        <f>YEAR(Employees_Tbl[[#This Row],[HIRE DATE]])</f>
        <v>2017</v>
      </c>
      <c r="H391" s="11" t="s">
        <v>434</v>
      </c>
      <c r="I391" s="11" t="s">
        <v>435</v>
      </c>
      <c r="J391" s="12">
        <v>41100</v>
      </c>
      <c r="K391" s="12">
        <v>1500</v>
      </c>
      <c r="L391" s="13">
        <v>0</v>
      </c>
      <c r="M391" s="13">
        <f>SUM(Employees_Tbl[[#This Row],[BASE SALARY]:[COMMISSION]])</f>
        <v>42600</v>
      </c>
      <c r="N391" s="11">
        <v>11</v>
      </c>
      <c r="O391" s="11">
        <v>6</v>
      </c>
      <c r="P391" s="11">
        <v>4</v>
      </c>
    </row>
    <row r="392" spans="1:16" x14ac:dyDescent="0.25">
      <c r="A392" s="11" t="s">
        <v>994</v>
      </c>
      <c r="B392" s="11" t="s">
        <v>995</v>
      </c>
      <c r="C392" s="11" t="s">
        <v>996</v>
      </c>
      <c r="D392" s="11" t="str">
        <f>Employees_Tbl[[#This Row],[LAST]] &amp;"." &amp; Employees_Tbl[[#This Row],[FIRST]]</f>
        <v>Murray.Lindsey</v>
      </c>
      <c r="E392" s="11" t="s">
        <v>26</v>
      </c>
      <c r="F392" s="14">
        <v>43567</v>
      </c>
      <c r="G392" s="25">
        <f>YEAR(Employees_Tbl[[#This Row],[HIRE DATE]])</f>
        <v>2019</v>
      </c>
      <c r="H392" s="11" t="s">
        <v>434</v>
      </c>
      <c r="I392" s="11" t="s">
        <v>435</v>
      </c>
      <c r="J392" s="12">
        <v>38100</v>
      </c>
      <c r="K392" s="12">
        <v>1500</v>
      </c>
      <c r="L392" s="13">
        <v>0</v>
      </c>
      <c r="M392" s="13">
        <f>SUM(Employees_Tbl[[#This Row],[BASE SALARY]:[COMMISSION]])</f>
        <v>39600</v>
      </c>
      <c r="N392" s="11">
        <v>16</v>
      </c>
      <c r="O392" s="11">
        <v>5</v>
      </c>
      <c r="P392" s="11">
        <v>3</v>
      </c>
    </row>
    <row r="393" spans="1:16" x14ac:dyDescent="0.25">
      <c r="A393" s="11" t="s">
        <v>457</v>
      </c>
      <c r="B393" s="11" t="s">
        <v>458</v>
      </c>
      <c r="C393" s="11" t="s">
        <v>459</v>
      </c>
      <c r="D393" s="11" t="str">
        <f>Employees_Tbl[[#This Row],[LAST]] &amp;"." &amp; Employees_Tbl[[#This Row],[FIRST]]</f>
        <v>Calhoun.Tommy</v>
      </c>
      <c r="E393" s="11" t="s">
        <v>33</v>
      </c>
      <c r="F393" s="14">
        <v>42622</v>
      </c>
      <c r="G393" s="25">
        <f>YEAR(Employees_Tbl[[#This Row],[HIRE DATE]])</f>
        <v>2016</v>
      </c>
      <c r="H393" s="11" t="s">
        <v>434</v>
      </c>
      <c r="I393" s="11" t="s">
        <v>435</v>
      </c>
      <c r="J393" s="12">
        <v>86100</v>
      </c>
      <c r="K393" s="12">
        <v>3000</v>
      </c>
      <c r="L393" s="13">
        <v>0</v>
      </c>
      <c r="M393" s="13">
        <f>SUM(Employees_Tbl[[#This Row],[BASE SALARY]:[COMMISSION]])</f>
        <v>89100</v>
      </c>
      <c r="N393" s="11">
        <v>18</v>
      </c>
      <c r="O393" s="11">
        <v>4</v>
      </c>
      <c r="P393" s="11">
        <v>2</v>
      </c>
    </row>
    <row r="394" spans="1:16" x14ac:dyDescent="0.25">
      <c r="A394" s="11" t="s">
        <v>454</v>
      </c>
      <c r="B394" s="11" t="s">
        <v>455</v>
      </c>
      <c r="C394" s="11" t="s">
        <v>456</v>
      </c>
      <c r="D394" s="11" t="str">
        <f>Employees_Tbl[[#This Row],[LAST]] &amp;"." &amp; Employees_Tbl[[#This Row],[FIRST]]</f>
        <v>Bell.Sam</v>
      </c>
      <c r="E394" s="11" t="s">
        <v>33</v>
      </c>
      <c r="F394" s="14">
        <v>42490</v>
      </c>
      <c r="G394" s="25">
        <f>YEAR(Employees_Tbl[[#This Row],[HIRE DATE]])</f>
        <v>2016</v>
      </c>
      <c r="H394" s="11" t="s">
        <v>434</v>
      </c>
      <c r="I394" s="11" t="s">
        <v>435</v>
      </c>
      <c r="J394" s="12">
        <v>75400</v>
      </c>
      <c r="K394" s="12">
        <v>2500</v>
      </c>
      <c r="L394" s="13">
        <v>0</v>
      </c>
      <c r="M394" s="13">
        <f>SUM(Employees_Tbl[[#This Row],[BASE SALARY]:[COMMISSION]])</f>
        <v>77900</v>
      </c>
      <c r="N394" s="11">
        <v>17</v>
      </c>
      <c r="O394" s="11">
        <v>0</v>
      </c>
      <c r="P394" s="11">
        <v>5</v>
      </c>
    </row>
    <row r="395" spans="1:16" x14ac:dyDescent="0.25">
      <c r="A395" s="11" t="s">
        <v>452</v>
      </c>
      <c r="B395" s="11" t="s">
        <v>453</v>
      </c>
      <c r="C395" s="11" t="s">
        <v>394</v>
      </c>
      <c r="D395" s="11" t="str">
        <f>Employees_Tbl[[#This Row],[LAST]] &amp;"." &amp; Employees_Tbl[[#This Row],[FIRST]]</f>
        <v>Ford.Anna</v>
      </c>
      <c r="E395" s="11" t="s">
        <v>33</v>
      </c>
      <c r="F395" s="14">
        <v>42634</v>
      </c>
      <c r="G395" s="25">
        <f>YEAR(Employees_Tbl[[#This Row],[HIRE DATE]])</f>
        <v>2016</v>
      </c>
      <c r="H395" s="11" t="s">
        <v>434</v>
      </c>
      <c r="I395" s="11" t="s">
        <v>435</v>
      </c>
      <c r="J395" s="12">
        <v>73000</v>
      </c>
      <c r="K395" s="12">
        <v>2000</v>
      </c>
      <c r="L395" s="13">
        <v>0</v>
      </c>
      <c r="M395" s="13">
        <f>SUM(Employees_Tbl[[#This Row],[BASE SALARY]:[COMMISSION]])</f>
        <v>75000</v>
      </c>
      <c r="N395" s="11">
        <v>15</v>
      </c>
      <c r="O395" s="11">
        <v>2</v>
      </c>
      <c r="P395" s="11">
        <v>2</v>
      </c>
    </row>
    <row r="396" spans="1:16" x14ac:dyDescent="0.25">
      <c r="A396" s="11" t="s">
        <v>1250</v>
      </c>
      <c r="B396" s="11" t="s">
        <v>1251</v>
      </c>
      <c r="C396" s="11" t="s">
        <v>1252</v>
      </c>
      <c r="D396" s="11" t="str">
        <f>Employees_Tbl[[#This Row],[LAST]] &amp;"." &amp; Employees_Tbl[[#This Row],[FIRST]]</f>
        <v>Burks.Heather</v>
      </c>
      <c r="E396" s="11" t="s">
        <v>33</v>
      </c>
      <c r="F396" s="14">
        <v>44009</v>
      </c>
      <c r="G396" s="25">
        <f>YEAR(Employees_Tbl[[#This Row],[HIRE DATE]])</f>
        <v>2020</v>
      </c>
      <c r="H396" s="11" t="s">
        <v>434</v>
      </c>
      <c r="I396" s="11" t="s">
        <v>435</v>
      </c>
      <c r="J396" s="12">
        <v>70900</v>
      </c>
      <c r="K396" s="12">
        <v>2000</v>
      </c>
      <c r="L396" s="13">
        <v>0</v>
      </c>
      <c r="M396" s="13">
        <f>SUM(Employees_Tbl[[#This Row],[BASE SALARY]:[COMMISSION]])</f>
        <v>72900</v>
      </c>
      <c r="N396" s="11">
        <v>18</v>
      </c>
      <c r="O396" s="11">
        <v>4</v>
      </c>
      <c r="P396" s="11">
        <v>3</v>
      </c>
    </row>
    <row r="397" spans="1:16" x14ac:dyDescent="0.25">
      <c r="A397" s="11" t="s">
        <v>997</v>
      </c>
      <c r="B397" s="11" t="s">
        <v>998</v>
      </c>
      <c r="C397" s="11" t="s">
        <v>519</v>
      </c>
      <c r="D397" s="11" t="str">
        <f>Employees_Tbl[[#This Row],[LAST]] &amp;"." &amp; Employees_Tbl[[#This Row],[FIRST]]</f>
        <v>Oliver.Jessie</v>
      </c>
      <c r="E397" s="11" t="s">
        <v>33</v>
      </c>
      <c r="F397" s="14">
        <v>43607</v>
      </c>
      <c r="G397" s="25">
        <f>YEAR(Employees_Tbl[[#This Row],[HIRE DATE]])</f>
        <v>2019</v>
      </c>
      <c r="H397" s="11" t="s">
        <v>434</v>
      </c>
      <c r="I397" s="11" t="s">
        <v>435</v>
      </c>
      <c r="J397" s="12">
        <v>67000</v>
      </c>
      <c r="K397" s="12">
        <v>2000</v>
      </c>
      <c r="L397" s="13">
        <v>0</v>
      </c>
      <c r="M397" s="13">
        <f>SUM(Employees_Tbl[[#This Row],[BASE SALARY]:[COMMISSION]])</f>
        <v>69000</v>
      </c>
      <c r="N397" s="11">
        <v>15</v>
      </c>
      <c r="O397" s="11">
        <v>3</v>
      </c>
      <c r="P397" s="11">
        <v>4</v>
      </c>
    </row>
    <row r="398" spans="1:16" x14ac:dyDescent="0.25">
      <c r="A398" s="11" t="s">
        <v>647</v>
      </c>
      <c r="B398" s="11" t="s">
        <v>648</v>
      </c>
      <c r="C398" s="11" t="s">
        <v>649</v>
      </c>
      <c r="D398" s="11" t="str">
        <f>Employees_Tbl[[#This Row],[LAST]] &amp;"." &amp; Employees_Tbl[[#This Row],[FIRST]]</f>
        <v>Crocker.Betsy</v>
      </c>
      <c r="E398" s="11" t="s">
        <v>33</v>
      </c>
      <c r="F398" s="14">
        <v>42859</v>
      </c>
      <c r="G398" s="25">
        <f>YEAR(Employees_Tbl[[#This Row],[HIRE DATE]])</f>
        <v>2017</v>
      </c>
      <c r="H398" s="11" t="s">
        <v>434</v>
      </c>
      <c r="I398" s="11" t="s">
        <v>435</v>
      </c>
      <c r="J398" s="12">
        <v>35400</v>
      </c>
      <c r="K398" s="12">
        <v>1000</v>
      </c>
      <c r="L398" s="13">
        <v>0</v>
      </c>
      <c r="M398" s="13">
        <f>SUM(Employees_Tbl[[#This Row],[BASE SALARY]:[COMMISSION]])</f>
        <v>36400</v>
      </c>
      <c r="N398" s="11">
        <v>12</v>
      </c>
      <c r="O398" s="11">
        <v>2</v>
      </c>
      <c r="P398" s="11">
        <v>2</v>
      </c>
    </row>
    <row r="399" spans="1:16" x14ac:dyDescent="0.25">
      <c r="A399" s="11" t="s">
        <v>449</v>
      </c>
      <c r="B399" s="11" t="s">
        <v>450</v>
      </c>
      <c r="C399" s="11" t="s">
        <v>451</v>
      </c>
      <c r="D399" s="11" t="str">
        <f>Employees_Tbl[[#This Row],[LAST]] &amp;"." &amp; Employees_Tbl[[#This Row],[FIRST]]</f>
        <v>Manzo.Terrell</v>
      </c>
      <c r="E399" s="11" t="s">
        <v>33</v>
      </c>
      <c r="F399" s="14">
        <v>42664</v>
      </c>
      <c r="G399" s="25">
        <f>YEAR(Employees_Tbl[[#This Row],[HIRE DATE]])</f>
        <v>2016</v>
      </c>
      <c r="H399" s="11" t="s">
        <v>434</v>
      </c>
      <c r="I399" s="11" t="s">
        <v>435</v>
      </c>
      <c r="J399" s="12">
        <v>32500</v>
      </c>
      <c r="K399" s="12">
        <v>1000</v>
      </c>
      <c r="L399" s="13">
        <v>0</v>
      </c>
      <c r="M399" s="13">
        <f>SUM(Employees_Tbl[[#This Row],[BASE SALARY]:[COMMISSION]])</f>
        <v>33500</v>
      </c>
      <c r="N399" s="11">
        <v>10</v>
      </c>
      <c r="O399" s="11">
        <v>3</v>
      </c>
      <c r="P399" s="11">
        <v>5</v>
      </c>
    </row>
    <row r="400" spans="1:16" x14ac:dyDescent="0.25">
      <c r="A400" s="11" t="s">
        <v>466</v>
      </c>
      <c r="B400" s="11" t="s">
        <v>1338</v>
      </c>
      <c r="C400" s="11" t="s">
        <v>1339</v>
      </c>
      <c r="D400" s="11" t="str">
        <f>Employees_Tbl[[#This Row],[LAST]] &amp;"." &amp; Employees_Tbl[[#This Row],[FIRST]]</f>
        <v>Stricklin.Germaine</v>
      </c>
      <c r="E400" s="11" t="s">
        <v>37</v>
      </c>
      <c r="F400" s="14">
        <v>42462</v>
      </c>
      <c r="G400" s="25">
        <f>YEAR(Employees_Tbl[[#This Row],[HIRE DATE]])</f>
        <v>2016</v>
      </c>
      <c r="H400" s="11" t="s">
        <v>434</v>
      </c>
      <c r="I400" s="11" t="s">
        <v>435</v>
      </c>
      <c r="J400" s="13">
        <v>111100</v>
      </c>
      <c r="K400" s="12">
        <v>3500</v>
      </c>
      <c r="L400" s="13">
        <v>0</v>
      </c>
      <c r="M400" s="13">
        <f>SUM(Employees_Tbl[[#This Row],[BASE SALARY]:[COMMISSION]])</f>
        <v>114600</v>
      </c>
      <c r="N400" s="11">
        <v>10</v>
      </c>
      <c r="O400" s="11">
        <v>7</v>
      </c>
      <c r="P400" s="11">
        <v>4</v>
      </c>
    </row>
    <row r="401" spans="1:16" x14ac:dyDescent="0.25">
      <c r="A401" s="11" t="s">
        <v>1259</v>
      </c>
      <c r="B401" s="11" t="s">
        <v>1260</v>
      </c>
      <c r="C401" s="11" t="s">
        <v>98</v>
      </c>
      <c r="D401" s="11" t="str">
        <f>Employees_Tbl[[#This Row],[LAST]] &amp;"." &amp; Employees_Tbl[[#This Row],[FIRST]]</f>
        <v>Bowen.Raul</v>
      </c>
      <c r="E401" s="11" t="s">
        <v>37</v>
      </c>
      <c r="F401" s="14">
        <v>44160</v>
      </c>
      <c r="G401" s="25">
        <f>YEAR(Employees_Tbl[[#This Row],[HIRE DATE]])</f>
        <v>2020</v>
      </c>
      <c r="H401" s="11" t="s">
        <v>434</v>
      </c>
      <c r="I401" s="11" t="s">
        <v>435</v>
      </c>
      <c r="J401" s="12">
        <v>106800</v>
      </c>
      <c r="K401" s="12">
        <v>4000</v>
      </c>
      <c r="L401" s="13">
        <v>0</v>
      </c>
      <c r="M401" s="13">
        <f>SUM(Employees_Tbl[[#This Row],[BASE SALARY]:[COMMISSION]])</f>
        <v>110800</v>
      </c>
      <c r="N401" s="11">
        <v>13</v>
      </c>
      <c r="O401" s="11">
        <v>6</v>
      </c>
      <c r="P401" s="11">
        <v>4</v>
      </c>
    </row>
    <row r="402" spans="1:16" x14ac:dyDescent="0.25">
      <c r="A402" s="11" t="s">
        <v>1002</v>
      </c>
      <c r="B402" s="11" t="s">
        <v>1003</v>
      </c>
      <c r="C402" s="11" t="s">
        <v>1004</v>
      </c>
      <c r="D402" s="11" t="str">
        <f>Employees_Tbl[[#This Row],[LAST]] &amp;"." &amp; Employees_Tbl[[#This Row],[FIRST]]</f>
        <v>Nickerson.Charlotte</v>
      </c>
      <c r="E402" s="11" t="s">
        <v>37</v>
      </c>
      <c r="F402" s="14">
        <v>43636</v>
      </c>
      <c r="G402" s="25">
        <f>YEAR(Employees_Tbl[[#This Row],[HIRE DATE]])</f>
        <v>2019</v>
      </c>
      <c r="H402" s="11" t="s">
        <v>434</v>
      </c>
      <c r="I402" s="11" t="s">
        <v>435</v>
      </c>
      <c r="J402" s="12">
        <v>104200</v>
      </c>
      <c r="K402" s="12">
        <v>4000</v>
      </c>
      <c r="L402" s="13">
        <v>0</v>
      </c>
      <c r="M402" s="13">
        <f>SUM(Employees_Tbl[[#This Row],[BASE SALARY]:[COMMISSION]])</f>
        <v>108200</v>
      </c>
      <c r="N402" s="11">
        <v>15</v>
      </c>
      <c r="O402" s="11">
        <v>11</v>
      </c>
      <c r="P402" s="11">
        <v>5</v>
      </c>
    </row>
    <row r="403" spans="1:16" x14ac:dyDescent="0.25">
      <c r="A403" s="11" t="s">
        <v>463</v>
      </c>
      <c r="B403" s="11" t="s">
        <v>464</v>
      </c>
      <c r="C403" s="11" t="s">
        <v>465</v>
      </c>
      <c r="D403" s="11" t="str">
        <f>Employees_Tbl[[#This Row],[LAST]] &amp;"." &amp; Employees_Tbl[[#This Row],[FIRST]]</f>
        <v>Badilla.Wyatt</v>
      </c>
      <c r="E403" s="11" t="s">
        <v>37</v>
      </c>
      <c r="F403" s="14">
        <v>42460</v>
      </c>
      <c r="G403" s="25">
        <f>YEAR(Employees_Tbl[[#This Row],[HIRE DATE]])</f>
        <v>2016</v>
      </c>
      <c r="H403" s="11" t="s">
        <v>434</v>
      </c>
      <c r="I403" s="11" t="s">
        <v>435</v>
      </c>
      <c r="J403" s="12">
        <v>96600</v>
      </c>
      <c r="K403" s="12">
        <v>3500</v>
      </c>
      <c r="L403" s="13">
        <v>0</v>
      </c>
      <c r="M403" s="13">
        <f>SUM(Employees_Tbl[[#This Row],[BASE SALARY]:[COMMISSION]])</f>
        <v>100100</v>
      </c>
      <c r="N403" s="11">
        <v>11</v>
      </c>
      <c r="O403" s="11">
        <v>6</v>
      </c>
      <c r="P403" s="11">
        <v>5</v>
      </c>
    </row>
    <row r="404" spans="1:16" x14ac:dyDescent="0.25">
      <c r="A404" s="11" t="s">
        <v>1257</v>
      </c>
      <c r="B404" s="11" t="s">
        <v>1258</v>
      </c>
      <c r="C404" s="11" t="s">
        <v>31</v>
      </c>
      <c r="D404" s="11" t="str">
        <f>Employees_Tbl[[#This Row],[LAST]] &amp;"." &amp; Employees_Tbl[[#This Row],[FIRST]]</f>
        <v>Kelly.Steven</v>
      </c>
      <c r="E404" s="11" t="s">
        <v>37</v>
      </c>
      <c r="F404" s="14">
        <v>44017</v>
      </c>
      <c r="G404" s="25">
        <f>YEAR(Employees_Tbl[[#This Row],[HIRE DATE]])</f>
        <v>2020</v>
      </c>
      <c r="H404" s="11" t="s">
        <v>434</v>
      </c>
      <c r="I404" s="11" t="s">
        <v>435</v>
      </c>
      <c r="J404" s="12">
        <v>87800</v>
      </c>
      <c r="K404" s="12">
        <v>3000</v>
      </c>
      <c r="L404" s="13">
        <v>0</v>
      </c>
      <c r="M404" s="13">
        <f>SUM(Employees_Tbl[[#This Row],[BASE SALARY]:[COMMISSION]])</f>
        <v>90800</v>
      </c>
      <c r="N404" s="11">
        <v>14</v>
      </c>
      <c r="O404" s="11">
        <v>7</v>
      </c>
      <c r="P404" s="11">
        <v>3</v>
      </c>
    </row>
    <row r="405" spans="1:16" x14ac:dyDescent="0.25">
      <c r="A405" s="11" t="s">
        <v>1256</v>
      </c>
      <c r="B405" s="11" t="s">
        <v>730</v>
      </c>
      <c r="C405" s="11" t="s">
        <v>271</v>
      </c>
      <c r="D405" s="11" t="str">
        <f>Employees_Tbl[[#This Row],[LAST]] &amp;"." &amp; Employees_Tbl[[#This Row],[FIRST]]</f>
        <v>Smith.Juanita</v>
      </c>
      <c r="E405" s="11" t="s">
        <v>37</v>
      </c>
      <c r="F405" s="14">
        <v>43893</v>
      </c>
      <c r="G405" s="25">
        <f>YEAR(Employees_Tbl[[#This Row],[HIRE DATE]])</f>
        <v>2020</v>
      </c>
      <c r="H405" s="11" t="s">
        <v>434</v>
      </c>
      <c r="I405" s="11" t="s">
        <v>435</v>
      </c>
      <c r="J405" s="12">
        <v>87100</v>
      </c>
      <c r="K405" s="12">
        <v>3000</v>
      </c>
      <c r="L405" s="13">
        <v>0</v>
      </c>
      <c r="M405" s="13">
        <f>SUM(Employees_Tbl[[#This Row],[BASE SALARY]:[COMMISSION]])</f>
        <v>90100</v>
      </c>
      <c r="N405" s="11">
        <v>11</v>
      </c>
      <c r="O405" s="11">
        <v>5</v>
      </c>
      <c r="P405" s="11">
        <v>5</v>
      </c>
    </row>
    <row r="406" spans="1:16" x14ac:dyDescent="0.25">
      <c r="A406" s="11" t="s">
        <v>650</v>
      </c>
      <c r="B406" s="11" t="s">
        <v>94</v>
      </c>
      <c r="C406" s="11" t="s">
        <v>651</v>
      </c>
      <c r="D406" s="11" t="str">
        <f>Employees_Tbl[[#This Row],[LAST]] &amp;"." &amp; Employees_Tbl[[#This Row],[FIRST]]</f>
        <v>Herndon.John</v>
      </c>
      <c r="E406" s="11" t="s">
        <v>37</v>
      </c>
      <c r="F406" s="14">
        <v>42907</v>
      </c>
      <c r="G406" s="25">
        <f>YEAR(Employees_Tbl[[#This Row],[HIRE DATE]])</f>
        <v>2017</v>
      </c>
      <c r="H406" s="11" t="s">
        <v>434</v>
      </c>
      <c r="I406" s="11" t="s">
        <v>435</v>
      </c>
      <c r="J406" s="12">
        <v>86300</v>
      </c>
      <c r="K406" s="12">
        <v>2500</v>
      </c>
      <c r="L406" s="13">
        <v>0</v>
      </c>
      <c r="M406" s="13">
        <f>SUM(Employees_Tbl[[#This Row],[BASE SALARY]:[COMMISSION]])</f>
        <v>88800</v>
      </c>
      <c r="N406" s="11">
        <v>17</v>
      </c>
      <c r="O406" s="11">
        <v>10</v>
      </c>
      <c r="P406" s="11">
        <v>5</v>
      </c>
    </row>
    <row r="407" spans="1:16" x14ac:dyDescent="0.25">
      <c r="A407" s="11" t="s">
        <v>1253</v>
      </c>
      <c r="B407" s="11" t="s">
        <v>1254</v>
      </c>
      <c r="C407" s="11" t="s">
        <v>1255</v>
      </c>
      <c r="D407" s="11" t="str">
        <f>Employees_Tbl[[#This Row],[LAST]] &amp;"." &amp; Employees_Tbl[[#This Row],[FIRST]]</f>
        <v>Stokes.Rhoda</v>
      </c>
      <c r="E407" s="11" t="s">
        <v>37</v>
      </c>
      <c r="F407" s="14">
        <v>43990</v>
      </c>
      <c r="G407" s="25">
        <f>YEAR(Employees_Tbl[[#This Row],[HIRE DATE]])</f>
        <v>2020</v>
      </c>
      <c r="H407" s="11" t="s">
        <v>434</v>
      </c>
      <c r="I407" s="11" t="s">
        <v>435</v>
      </c>
      <c r="J407" s="12">
        <v>84000</v>
      </c>
      <c r="K407" s="12">
        <v>3000</v>
      </c>
      <c r="L407" s="13">
        <v>0</v>
      </c>
      <c r="M407" s="13">
        <f>SUM(Employees_Tbl[[#This Row],[BASE SALARY]:[COMMISSION]])</f>
        <v>87000</v>
      </c>
      <c r="N407" s="11">
        <v>11</v>
      </c>
      <c r="O407" s="11">
        <v>9</v>
      </c>
      <c r="P407" s="11">
        <v>4</v>
      </c>
    </row>
    <row r="408" spans="1:16" x14ac:dyDescent="0.25">
      <c r="A408" s="11" t="s">
        <v>999</v>
      </c>
      <c r="B408" s="11" t="s">
        <v>1000</v>
      </c>
      <c r="C408" s="11" t="s">
        <v>1001</v>
      </c>
      <c r="D408" s="11" t="str">
        <f>Employees_Tbl[[#This Row],[LAST]] &amp;"." &amp; Employees_Tbl[[#This Row],[FIRST]]</f>
        <v>Keenum.Irma</v>
      </c>
      <c r="E408" s="11" t="s">
        <v>37</v>
      </c>
      <c r="F408" s="14">
        <v>43691</v>
      </c>
      <c r="G408" s="25">
        <f>YEAR(Employees_Tbl[[#This Row],[HIRE DATE]])</f>
        <v>2019</v>
      </c>
      <c r="H408" s="11" t="s">
        <v>434</v>
      </c>
      <c r="I408" s="11" t="s">
        <v>435</v>
      </c>
      <c r="J408" s="12">
        <v>82700</v>
      </c>
      <c r="K408" s="12">
        <v>3500</v>
      </c>
      <c r="L408" s="13">
        <v>0</v>
      </c>
      <c r="M408" s="13">
        <f>SUM(Employees_Tbl[[#This Row],[BASE SALARY]:[COMMISSION]])</f>
        <v>86200</v>
      </c>
      <c r="N408" s="11">
        <v>18</v>
      </c>
      <c r="O408" s="11">
        <v>7</v>
      </c>
      <c r="P408" s="11">
        <v>4</v>
      </c>
    </row>
    <row r="409" spans="1:16" x14ac:dyDescent="0.25">
      <c r="A409" s="11" t="s">
        <v>848</v>
      </c>
      <c r="B409" s="11" t="s">
        <v>849</v>
      </c>
      <c r="C409" s="11" t="s">
        <v>850</v>
      </c>
      <c r="D409" s="11" t="str">
        <f>Employees_Tbl[[#This Row],[LAST]] &amp;"." &amp; Employees_Tbl[[#This Row],[FIRST]]</f>
        <v>Gibbons.Olga</v>
      </c>
      <c r="E409" s="11" t="s">
        <v>37</v>
      </c>
      <c r="F409" s="14">
        <v>43399</v>
      </c>
      <c r="G409" s="25">
        <f>YEAR(Employees_Tbl[[#This Row],[HIRE DATE]])</f>
        <v>2018</v>
      </c>
      <c r="H409" s="11" t="s">
        <v>434</v>
      </c>
      <c r="I409" s="11" t="s">
        <v>435</v>
      </c>
      <c r="J409" s="12">
        <v>69100</v>
      </c>
      <c r="K409" s="12">
        <v>2000</v>
      </c>
      <c r="L409" s="13">
        <v>0</v>
      </c>
      <c r="M409" s="13">
        <f>SUM(Employees_Tbl[[#This Row],[BASE SALARY]:[COMMISSION]])</f>
        <v>71100</v>
      </c>
      <c r="N409" s="11">
        <v>18</v>
      </c>
      <c r="O409" s="11">
        <v>8</v>
      </c>
      <c r="P409" s="11">
        <v>3</v>
      </c>
    </row>
    <row r="410" spans="1:16" x14ac:dyDescent="0.25">
      <c r="A410" s="11" t="s">
        <v>460</v>
      </c>
      <c r="B410" s="11" t="s">
        <v>461</v>
      </c>
      <c r="C410" s="11" t="s">
        <v>462</v>
      </c>
      <c r="D410" s="11" t="str">
        <f>Employees_Tbl[[#This Row],[LAST]] &amp;"." &amp; Employees_Tbl[[#This Row],[FIRST]]</f>
        <v>Doe.Maira</v>
      </c>
      <c r="E410" s="11" t="s">
        <v>37</v>
      </c>
      <c r="F410" s="14">
        <v>42682</v>
      </c>
      <c r="G410" s="25">
        <f>YEAR(Employees_Tbl[[#This Row],[HIRE DATE]])</f>
        <v>2016</v>
      </c>
      <c r="H410" s="11" t="s">
        <v>434</v>
      </c>
      <c r="I410" s="11" t="s">
        <v>435</v>
      </c>
      <c r="J410" s="12">
        <v>61200</v>
      </c>
      <c r="K410" s="12">
        <v>2000</v>
      </c>
      <c r="L410" s="13">
        <v>0</v>
      </c>
      <c r="M410" s="13">
        <f>SUM(Employees_Tbl[[#This Row],[BASE SALARY]:[COMMISSION]])</f>
        <v>63200</v>
      </c>
      <c r="N410" s="11">
        <v>18</v>
      </c>
      <c r="O410" s="11">
        <v>10</v>
      </c>
      <c r="P410" s="11">
        <v>3</v>
      </c>
    </row>
    <row r="411" spans="1:16" x14ac:dyDescent="0.25">
      <c r="A411" s="11" t="s">
        <v>657</v>
      </c>
      <c r="B411" s="11" t="s">
        <v>368</v>
      </c>
      <c r="C411" s="11" t="s">
        <v>103</v>
      </c>
      <c r="D411" s="11" t="str">
        <f>Employees_Tbl[[#This Row],[LAST]] &amp;"." &amp; Employees_Tbl[[#This Row],[FIRST]]</f>
        <v>Thomas.Scott</v>
      </c>
      <c r="E411" s="11" t="s">
        <v>41</v>
      </c>
      <c r="F411" s="14">
        <v>42759</v>
      </c>
      <c r="G411" s="25">
        <f>YEAR(Employees_Tbl[[#This Row],[HIRE DATE]])</f>
        <v>2017</v>
      </c>
      <c r="H411" s="11" t="s">
        <v>434</v>
      </c>
      <c r="I411" s="11" t="s">
        <v>435</v>
      </c>
      <c r="J411" s="12">
        <v>77200</v>
      </c>
      <c r="K411" s="12">
        <v>2000</v>
      </c>
      <c r="L411" s="13">
        <v>0</v>
      </c>
      <c r="M411" s="13">
        <f>SUM(Employees_Tbl[[#This Row],[BASE SALARY]:[COMMISSION]])</f>
        <v>79200</v>
      </c>
      <c r="N411" s="11">
        <v>16</v>
      </c>
      <c r="O411" s="11">
        <v>8</v>
      </c>
      <c r="P411" s="11">
        <v>4</v>
      </c>
    </row>
    <row r="412" spans="1:16" x14ac:dyDescent="0.25">
      <c r="A412" s="11" t="s">
        <v>1008</v>
      </c>
      <c r="B412" s="11" t="s">
        <v>1352</v>
      </c>
      <c r="C412" s="11" t="s">
        <v>1353</v>
      </c>
      <c r="D412" s="11" t="str">
        <f>Employees_Tbl[[#This Row],[LAST]] &amp;"." &amp; Employees_Tbl[[#This Row],[FIRST]]</f>
        <v>Morgan.Wallace</v>
      </c>
      <c r="E412" s="11" t="s">
        <v>41</v>
      </c>
      <c r="F412" s="14">
        <v>43564</v>
      </c>
      <c r="G412" s="25">
        <f>YEAR(Employees_Tbl[[#This Row],[HIRE DATE]])</f>
        <v>2019</v>
      </c>
      <c r="H412" s="11" t="s">
        <v>434</v>
      </c>
      <c r="I412" s="11" t="s">
        <v>435</v>
      </c>
      <c r="J412" s="13">
        <v>72900</v>
      </c>
      <c r="K412" s="12">
        <v>2000</v>
      </c>
      <c r="L412" s="13">
        <v>0</v>
      </c>
      <c r="M412" s="13">
        <f>SUM(Employees_Tbl[[#This Row],[BASE SALARY]:[COMMISSION]])</f>
        <v>74900</v>
      </c>
      <c r="N412" s="11">
        <v>11</v>
      </c>
      <c r="O412" s="11">
        <v>4</v>
      </c>
      <c r="P412" s="11">
        <v>2</v>
      </c>
    </row>
    <row r="413" spans="1:16" x14ac:dyDescent="0.25">
      <c r="A413" s="11" t="s">
        <v>1265</v>
      </c>
      <c r="B413" s="11" t="s">
        <v>1363</v>
      </c>
      <c r="C413" s="11" t="s">
        <v>1364</v>
      </c>
      <c r="D413" s="11" t="str">
        <f>Employees_Tbl[[#This Row],[LAST]] &amp;"." &amp; Employees_Tbl[[#This Row],[FIRST]]</f>
        <v>Marshall.Marsha</v>
      </c>
      <c r="E413" s="11" t="s">
        <v>41</v>
      </c>
      <c r="F413" s="14">
        <v>43880</v>
      </c>
      <c r="G413" s="25">
        <f>YEAR(Employees_Tbl[[#This Row],[HIRE DATE]])</f>
        <v>2020</v>
      </c>
      <c r="H413" s="11" t="s">
        <v>434</v>
      </c>
      <c r="I413" s="11" t="s">
        <v>435</v>
      </c>
      <c r="J413" s="12">
        <v>70700</v>
      </c>
      <c r="K413" s="12">
        <v>2000</v>
      </c>
      <c r="L413" s="13">
        <v>0</v>
      </c>
      <c r="M413" s="13">
        <f>SUM(Employees_Tbl[[#This Row],[BASE SALARY]:[COMMISSION]])</f>
        <v>72700</v>
      </c>
      <c r="N413" s="11">
        <v>16</v>
      </c>
      <c r="O413" s="11">
        <v>5</v>
      </c>
      <c r="P413" s="11">
        <v>4</v>
      </c>
    </row>
    <row r="414" spans="1:16" x14ac:dyDescent="0.25">
      <c r="A414" s="11" t="s">
        <v>1262</v>
      </c>
      <c r="B414" s="11" t="s">
        <v>1263</v>
      </c>
      <c r="C414" s="11" t="s">
        <v>1264</v>
      </c>
      <c r="D414" s="11" t="str">
        <f>Employees_Tbl[[#This Row],[LAST]] &amp;"." &amp; Employees_Tbl[[#This Row],[FIRST]]</f>
        <v>Horn.Neville</v>
      </c>
      <c r="E414" s="11" t="s">
        <v>41</v>
      </c>
      <c r="F414" s="14">
        <v>43983</v>
      </c>
      <c r="G414" s="25">
        <f>YEAR(Employees_Tbl[[#This Row],[HIRE DATE]])</f>
        <v>2020</v>
      </c>
      <c r="H414" s="11" t="s">
        <v>434</v>
      </c>
      <c r="I414" s="11" t="s">
        <v>435</v>
      </c>
      <c r="J414" s="12">
        <v>64500</v>
      </c>
      <c r="K414" s="12">
        <v>2000</v>
      </c>
      <c r="L414" s="13">
        <v>0</v>
      </c>
      <c r="M414" s="13">
        <f>SUM(Employees_Tbl[[#This Row],[BASE SALARY]:[COMMISSION]])</f>
        <v>66500</v>
      </c>
      <c r="N414" s="11">
        <v>15</v>
      </c>
      <c r="O414" s="11">
        <v>6</v>
      </c>
      <c r="P414" s="11">
        <v>4</v>
      </c>
    </row>
    <row r="415" spans="1:16" x14ac:dyDescent="0.25">
      <c r="A415" s="11" t="s">
        <v>1261</v>
      </c>
      <c r="B415" s="11" t="s">
        <v>20</v>
      </c>
      <c r="C415" s="11" t="s">
        <v>1361</v>
      </c>
      <c r="D415" s="11" t="str">
        <f>Employees_Tbl[[#This Row],[LAST]] &amp;"." &amp; Employees_Tbl[[#This Row],[FIRST]]</f>
        <v>Scanlon.Daniel</v>
      </c>
      <c r="E415" s="11" t="s">
        <v>41</v>
      </c>
      <c r="F415" s="14">
        <v>44110</v>
      </c>
      <c r="G415" s="25">
        <f>YEAR(Employees_Tbl[[#This Row],[HIRE DATE]])</f>
        <v>2020</v>
      </c>
      <c r="H415" s="11" t="s">
        <v>434</v>
      </c>
      <c r="I415" s="11" t="s">
        <v>435</v>
      </c>
      <c r="J415" s="13">
        <v>58900</v>
      </c>
      <c r="K415" s="12">
        <v>1500</v>
      </c>
      <c r="L415" s="13">
        <v>0</v>
      </c>
      <c r="M415" s="13">
        <f>SUM(Employees_Tbl[[#This Row],[BASE SALARY]:[COMMISSION]])</f>
        <v>60400</v>
      </c>
      <c r="N415" s="11">
        <v>10</v>
      </c>
      <c r="O415" s="11">
        <v>11</v>
      </c>
      <c r="P415" s="11">
        <v>4</v>
      </c>
    </row>
    <row r="416" spans="1:16" x14ac:dyDescent="0.25">
      <c r="A416" s="11" t="s">
        <v>473</v>
      </c>
      <c r="B416" s="11" t="s">
        <v>474</v>
      </c>
      <c r="C416" s="11" t="s">
        <v>475</v>
      </c>
      <c r="D416" s="11" t="str">
        <f>Employees_Tbl[[#This Row],[LAST]] &amp;"." &amp; Employees_Tbl[[#This Row],[FIRST]]</f>
        <v>Rodgers.Jayne</v>
      </c>
      <c r="E416" s="11" t="s">
        <v>41</v>
      </c>
      <c r="F416" s="14">
        <v>42508</v>
      </c>
      <c r="G416" s="25">
        <f>YEAR(Employees_Tbl[[#This Row],[HIRE DATE]])</f>
        <v>2016</v>
      </c>
      <c r="H416" s="11" t="s">
        <v>434</v>
      </c>
      <c r="I416" s="11" t="s">
        <v>435</v>
      </c>
      <c r="J416" s="12">
        <v>54200</v>
      </c>
      <c r="K416" s="12">
        <v>2000</v>
      </c>
      <c r="L416" s="13">
        <v>0</v>
      </c>
      <c r="M416" s="13">
        <f>SUM(Employees_Tbl[[#This Row],[BASE SALARY]:[COMMISSION]])</f>
        <v>56200</v>
      </c>
      <c r="N416" s="11">
        <v>18</v>
      </c>
      <c r="O416" s="11">
        <v>7</v>
      </c>
      <c r="P416" s="11">
        <v>3</v>
      </c>
    </row>
    <row r="417" spans="1:16" x14ac:dyDescent="0.25">
      <c r="A417" s="11" t="s">
        <v>1005</v>
      </c>
      <c r="B417" s="11" t="s">
        <v>1006</v>
      </c>
      <c r="C417" s="11" t="s">
        <v>1007</v>
      </c>
      <c r="D417" s="11" t="str">
        <f>Employees_Tbl[[#This Row],[LAST]] &amp;"." &amp; Employees_Tbl[[#This Row],[FIRST]]</f>
        <v>Kimball.Katrina</v>
      </c>
      <c r="E417" s="11" t="s">
        <v>41</v>
      </c>
      <c r="F417" s="14">
        <v>43599</v>
      </c>
      <c r="G417" s="25">
        <f>YEAR(Employees_Tbl[[#This Row],[HIRE DATE]])</f>
        <v>2019</v>
      </c>
      <c r="H417" s="11" t="s">
        <v>434</v>
      </c>
      <c r="I417" s="11" t="s">
        <v>435</v>
      </c>
      <c r="J417" s="12">
        <v>54000</v>
      </c>
      <c r="K417" s="12">
        <v>2000</v>
      </c>
      <c r="L417" s="13">
        <v>0</v>
      </c>
      <c r="M417" s="13">
        <f>SUM(Employees_Tbl[[#This Row],[BASE SALARY]:[COMMISSION]])</f>
        <v>56000</v>
      </c>
      <c r="N417" s="11">
        <v>13</v>
      </c>
      <c r="O417" s="11">
        <v>2</v>
      </c>
      <c r="P417" s="11">
        <v>5</v>
      </c>
    </row>
    <row r="418" spans="1:16" x14ac:dyDescent="0.25">
      <c r="A418" s="11" t="s">
        <v>476</v>
      </c>
      <c r="B418" s="11" t="s">
        <v>477</v>
      </c>
      <c r="C418" s="11" t="s">
        <v>478</v>
      </c>
      <c r="D418" s="11" t="str">
        <f>Employees_Tbl[[#This Row],[LAST]] &amp;"." &amp; Employees_Tbl[[#This Row],[FIRST]]</f>
        <v>Gill.Barbara</v>
      </c>
      <c r="E418" s="11" t="s">
        <v>41</v>
      </c>
      <c r="F418" s="14">
        <v>42690</v>
      </c>
      <c r="G418" s="25">
        <f>YEAR(Employees_Tbl[[#This Row],[HIRE DATE]])</f>
        <v>2016</v>
      </c>
      <c r="H418" s="11" t="s">
        <v>434</v>
      </c>
      <c r="I418" s="11" t="s">
        <v>435</v>
      </c>
      <c r="J418" s="12">
        <v>53500</v>
      </c>
      <c r="K418" s="12">
        <v>1500</v>
      </c>
      <c r="L418" s="13">
        <v>0</v>
      </c>
      <c r="M418" s="13">
        <f>SUM(Employees_Tbl[[#This Row],[BASE SALARY]:[COMMISSION]])</f>
        <v>55000</v>
      </c>
      <c r="N418" s="11">
        <v>16</v>
      </c>
      <c r="O418" s="11">
        <v>8</v>
      </c>
      <c r="P418" s="11">
        <v>2</v>
      </c>
    </row>
    <row r="419" spans="1:16" x14ac:dyDescent="0.25">
      <c r="A419" s="11" t="s">
        <v>655</v>
      </c>
      <c r="B419" s="11" t="s">
        <v>193</v>
      </c>
      <c r="C419" s="11" t="s">
        <v>656</v>
      </c>
      <c r="D419" s="11" t="str">
        <f>Employees_Tbl[[#This Row],[LAST]] &amp;"." &amp; Employees_Tbl[[#This Row],[FIRST]]</f>
        <v>Chafin.Patricia</v>
      </c>
      <c r="E419" s="11" t="s">
        <v>41</v>
      </c>
      <c r="F419" s="14">
        <v>42811</v>
      </c>
      <c r="G419" s="25">
        <f>YEAR(Employees_Tbl[[#This Row],[HIRE DATE]])</f>
        <v>2017</v>
      </c>
      <c r="H419" s="11" t="s">
        <v>434</v>
      </c>
      <c r="I419" s="11" t="s">
        <v>435</v>
      </c>
      <c r="J419" s="12">
        <v>47000</v>
      </c>
      <c r="K419" s="12">
        <v>1500</v>
      </c>
      <c r="L419" s="13">
        <v>0</v>
      </c>
      <c r="M419" s="13">
        <f>SUM(Employees_Tbl[[#This Row],[BASE SALARY]:[COMMISSION]])</f>
        <v>48500</v>
      </c>
      <c r="N419" s="11">
        <v>11</v>
      </c>
      <c r="O419" s="11">
        <v>4</v>
      </c>
      <c r="P419" s="11">
        <v>3</v>
      </c>
    </row>
    <row r="420" spans="1:16" x14ac:dyDescent="0.25">
      <c r="A420" s="11" t="s">
        <v>652</v>
      </c>
      <c r="B420" s="11" t="s">
        <v>653</v>
      </c>
      <c r="C420" s="11" t="s">
        <v>654</v>
      </c>
      <c r="D420" s="11" t="str">
        <f>Employees_Tbl[[#This Row],[LAST]] &amp;"." &amp; Employees_Tbl[[#This Row],[FIRST]]</f>
        <v>Shanks.Karin</v>
      </c>
      <c r="E420" s="11" t="s">
        <v>41</v>
      </c>
      <c r="F420" s="14">
        <v>42941</v>
      </c>
      <c r="G420" s="25">
        <f>YEAR(Employees_Tbl[[#This Row],[HIRE DATE]])</f>
        <v>2017</v>
      </c>
      <c r="H420" s="11" t="s">
        <v>434</v>
      </c>
      <c r="I420" s="11" t="s">
        <v>435</v>
      </c>
      <c r="J420" s="12">
        <v>37600</v>
      </c>
      <c r="K420" s="12">
        <v>1500</v>
      </c>
      <c r="L420" s="13">
        <v>0</v>
      </c>
      <c r="M420" s="13">
        <f>SUM(Employees_Tbl[[#This Row],[BASE SALARY]:[COMMISSION]])</f>
        <v>39100</v>
      </c>
      <c r="N420" s="11">
        <v>15</v>
      </c>
      <c r="O420" s="11">
        <v>4</v>
      </c>
      <c r="P420" s="11">
        <v>4</v>
      </c>
    </row>
    <row r="421" spans="1:16" x14ac:dyDescent="0.25">
      <c r="A421" s="11" t="s">
        <v>851</v>
      </c>
      <c r="B421" s="11" t="s">
        <v>31</v>
      </c>
      <c r="C421" s="11" t="s">
        <v>852</v>
      </c>
      <c r="D421" s="11" t="str">
        <f>Employees_Tbl[[#This Row],[LAST]] &amp;"." &amp; Employees_Tbl[[#This Row],[FIRST]]</f>
        <v>Roberts.Kelly</v>
      </c>
      <c r="E421" s="11" t="s">
        <v>41</v>
      </c>
      <c r="F421" s="14">
        <v>43259</v>
      </c>
      <c r="G421" s="25">
        <f>YEAR(Employees_Tbl[[#This Row],[HIRE DATE]])</f>
        <v>2018</v>
      </c>
      <c r="H421" s="11" t="s">
        <v>434</v>
      </c>
      <c r="I421" s="11" t="s">
        <v>435</v>
      </c>
      <c r="J421" s="12">
        <v>33900</v>
      </c>
      <c r="K421" s="12">
        <v>1000</v>
      </c>
      <c r="L421" s="13">
        <v>0</v>
      </c>
      <c r="M421" s="13">
        <f>SUM(Employees_Tbl[[#This Row],[BASE SALARY]:[COMMISSION]])</f>
        <v>34900</v>
      </c>
      <c r="N421" s="11">
        <v>10</v>
      </c>
      <c r="O421" s="11">
        <v>10</v>
      </c>
      <c r="P421" s="11">
        <v>3</v>
      </c>
    </row>
    <row r="422" spans="1:16" x14ac:dyDescent="0.25">
      <c r="A422" s="11" t="s">
        <v>467</v>
      </c>
      <c r="B422" s="11" t="s">
        <v>468</v>
      </c>
      <c r="C422" s="11" t="s">
        <v>469</v>
      </c>
      <c r="D422" s="11" t="str">
        <f>Employees_Tbl[[#This Row],[LAST]] &amp;"." &amp; Employees_Tbl[[#This Row],[FIRST]]</f>
        <v>Innocent.Mary</v>
      </c>
      <c r="E422" s="11" t="s">
        <v>45</v>
      </c>
      <c r="F422" s="14">
        <v>42537</v>
      </c>
      <c r="G422" s="25">
        <f>YEAR(Employees_Tbl[[#This Row],[HIRE DATE]])</f>
        <v>2016</v>
      </c>
      <c r="H422" s="11" t="s">
        <v>434</v>
      </c>
      <c r="I422" s="11" t="s">
        <v>435</v>
      </c>
      <c r="J422" s="12">
        <v>136900</v>
      </c>
      <c r="K422" s="12">
        <v>4000</v>
      </c>
      <c r="L422" s="13">
        <v>0</v>
      </c>
      <c r="M422" s="13">
        <f>SUM(Employees_Tbl[[#This Row],[BASE SALARY]:[COMMISSION]])</f>
        <v>140900</v>
      </c>
      <c r="N422" s="11">
        <v>18</v>
      </c>
      <c r="O422" s="11">
        <v>8</v>
      </c>
      <c r="P422" s="11">
        <v>2</v>
      </c>
    </row>
    <row r="423" spans="1:16" x14ac:dyDescent="0.25">
      <c r="A423" s="11" t="s">
        <v>1280</v>
      </c>
      <c r="B423" s="11" t="s">
        <v>1091</v>
      </c>
      <c r="C423" s="11" t="s">
        <v>1281</v>
      </c>
      <c r="D423" s="11" t="str">
        <f>Employees_Tbl[[#This Row],[LAST]] &amp;"." &amp; Employees_Tbl[[#This Row],[FIRST]]</f>
        <v>Fernandez.Manuel</v>
      </c>
      <c r="E423" s="11" t="s">
        <v>45</v>
      </c>
      <c r="F423" s="14">
        <v>44003</v>
      </c>
      <c r="G423" s="25">
        <f>YEAR(Employees_Tbl[[#This Row],[HIRE DATE]])</f>
        <v>2020</v>
      </c>
      <c r="H423" s="11" t="s">
        <v>434</v>
      </c>
      <c r="I423" s="11" t="s">
        <v>435</v>
      </c>
      <c r="J423" s="12">
        <v>102500</v>
      </c>
      <c r="K423" s="12">
        <v>3500</v>
      </c>
      <c r="L423" s="13">
        <v>0</v>
      </c>
      <c r="M423" s="13">
        <f>SUM(Employees_Tbl[[#This Row],[BASE SALARY]:[COMMISSION]])</f>
        <v>106000</v>
      </c>
      <c r="N423" s="11">
        <v>17</v>
      </c>
      <c r="O423" s="11">
        <v>8</v>
      </c>
      <c r="P423" s="11">
        <v>4</v>
      </c>
    </row>
    <row r="424" spans="1:16" x14ac:dyDescent="0.25">
      <c r="A424" s="11" t="s">
        <v>1278</v>
      </c>
      <c r="B424" s="11" t="s">
        <v>1279</v>
      </c>
      <c r="C424" s="11" t="s">
        <v>516</v>
      </c>
      <c r="D424" s="11" t="str">
        <f>Employees_Tbl[[#This Row],[LAST]] &amp;"." &amp; Employees_Tbl[[#This Row],[FIRST]]</f>
        <v>Hickman.Garrett</v>
      </c>
      <c r="E424" s="11" t="s">
        <v>45</v>
      </c>
      <c r="F424" s="14">
        <v>44028</v>
      </c>
      <c r="G424" s="25">
        <f>YEAR(Employees_Tbl[[#This Row],[HIRE DATE]])</f>
        <v>2020</v>
      </c>
      <c r="H424" s="11" t="s">
        <v>434</v>
      </c>
      <c r="I424" s="11" t="s">
        <v>435</v>
      </c>
      <c r="J424" s="12">
        <v>101000</v>
      </c>
      <c r="K424" s="12">
        <v>3500</v>
      </c>
      <c r="L424" s="13">
        <v>0</v>
      </c>
      <c r="M424" s="13">
        <f>SUM(Employees_Tbl[[#This Row],[BASE SALARY]:[COMMISSION]])</f>
        <v>104500</v>
      </c>
      <c r="N424" s="11">
        <v>18</v>
      </c>
      <c r="O424" s="11">
        <v>7</v>
      </c>
      <c r="P424" s="11">
        <v>5</v>
      </c>
    </row>
    <row r="425" spans="1:16" x14ac:dyDescent="0.25">
      <c r="A425" s="11" t="s">
        <v>1021</v>
      </c>
      <c r="B425" s="11" t="s">
        <v>1022</v>
      </c>
      <c r="C425" s="11" t="s">
        <v>1023</v>
      </c>
      <c r="D425" s="11" t="str">
        <f>Employees_Tbl[[#This Row],[LAST]] &amp;"." &amp; Employees_Tbl[[#This Row],[FIRST]]</f>
        <v>Barboza.Raymond</v>
      </c>
      <c r="E425" s="11" t="s">
        <v>45</v>
      </c>
      <c r="F425" s="14">
        <v>43561</v>
      </c>
      <c r="G425" s="25">
        <f>YEAR(Employees_Tbl[[#This Row],[HIRE DATE]])</f>
        <v>2019</v>
      </c>
      <c r="H425" s="11" t="s">
        <v>434</v>
      </c>
      <c r="I425" s="11" t="s">
        <v>435</v>
      </c>
      <c r="J425" s="12">
        <v>88700</v>
      </c>
      <c r="K425" s="12">
        <v>2500</v>
      </c>
      <c r="L425" s="13">
        <v>0</v>
      </c>
      <c r="M425" s="13">
        <f>SUM(Employees_Tbl[[#This Row],[BASE SALARY]:[COMMISSION]])</f>
        <v>91200</v>
      </c>
      <c r="N425" s="11">
        <v>11</v>
      </c>
      <c r="O425" s="11">
        <v>9</v>
      </c>
      <c r="P425" s="11">
        <v>5</v>
      </c>
    </row>
    <row r="426" spans="1:16" x14ac:dyDescent="0.25">
      <c r="A426" s="11" t="s">
        <v>1150</v>
      </c>
      <c r="B426" s="11" t="s">
        <v>1213</v>
      </c>
      <c r="C426" s="11" t="s">
        <v>1277</v>
      </c>
      <c r="D426" s="11" t="str">
        <f>Employees_Tbl[[#This Row],[LAST]] &amp;"." &amp; Employees_Tbl[[#This Row],[FIRST]]</f>
        <v>Whitted.Wendy</v>
      </c>
      <c r="E426" s="11" t="s">
        <v>45</v>
      </c>
      <c r="F426" s="14">
        <v>43949</v>
      </c>
      <c r="G426" s="25">
        <f>YEAR(Employees_Tbl[[#This Row],[HIRE DATE]])</f>
        <v>2020</v>
      </c>
      <c r="H426" s="11" t="s">
        <v>434</v>
      </c>
      <c r="I426" s="11" t="s">
        <v>435</v>
      </c>
      <c r="J426" s="12">
        <v>85400</v>
      </c>
      <c r="K426" s="12">
        <v>3000</v>
      </c>
      <c r="L426" s="13">
        <v>0</v>
      </c>
      <c r="M426" s="13">
        <f>SUM(Employees_Tbl[[#This Row],[BASE SALARY]:[COMMISSION]])</f>
        <v>88400</v>
      </c>
      <c r="N426" s="11">
        <v>10</v>
      </c>
      <c r="O426" s="11">
        <v>4</v>
      </c>
      <c r="P426" s="11">
        <v>5</v>
      </c>
    </row>
    <row r="427" spans="1:16" x14ac:dyDescent="0.25">
      <c r="A427" s="11" t="s">
        <v>482</v>
      </c>
      <c r="B427" s="11" t="s">
        <v>483</v>
      </c>
      <c r="C427" s="11" t="s">
        <v>484</v>
      </c>
      <c r="D427" s="11" t="str">
        <f>Employees_Tbl[[#This Row],[LAST]] &amp;"." &amp; Employees_Tbl[[#This Row],[FIRST]]</f>
        <v>Boyd.Henry</v>
      </c>
      <c r="E427" s="11" t="s">
        <v>45</v>
      </c>
      <c r="F427" s="14">
        <v>42668</v>
      </c>
      <c r="G427" s="25">
        <f>YEAR(Employees_Tbl[[#This Row],[HIRE DATE]])</f>
        <v>2016</v>
      </c>
      <c r="H427" s="11" t="s">
        <v>434</v>
      </c>
      <c r="I427" s="11" t="s">
        <v>435</v>
      </c>
      <c r="J427" s="12">
        <v>76800</v>
      </c>
      <c r="K427" s="12">
        <v>2500</v>
      </c>
      <c r="L427" s="13">
        <v>0</v>
      </c>
      <c r="M427" s="13">
        <f>SUM(Employees_Tbl[[#This Row],[BASE SALARY]:[COMMISSION]])</f>
        <v>79300</v>
      </c>
      <c r="N427" s="11">
        <v>10</v>
      </c>
      <c r="O427" s="11">
        <v>8</v>
      </c>
      <c r="P427" s="11">
        <v>5</v>
      </c>
    </row>
    <row r="428" spans="1:16" x14ac:dyDescent="0.25">
      <c r="A428" s="11" t="s">
        <v>1274</v>
      </c>
      <c r="B428" s="11" t="s">
        <v>1275</v>
      </c>
      <c r="C428" s="11" t="s">
        <v>1276</v>
      </c>
      <c r="D428" s="11" t="str">
        <f>Employees_Tbl[[#This Row],[LAST]] &amp;"." &amp; Employees_Tbl[[#This Row],[FIRST]]</f>
        <v>Hill.Marcy</v>
      </c>
      <c r="E428" s="11" t="s">
        <v>45</v>
      </c>
      <c r="F428" s="14">
        <v>44164</v>
      </c>
      <c r="G428" s="25">
        <f>YEAR(Employees_Tbl[[#This Row],[HIRE DATE]])</f>
        <v>2020</v>
      </c>
      <c r="H428" s="11" t="s">
        <v>434</v>
      </c>
      <c r="I428" s="11" t="s">
        <v>435</v>
      </c>
      <c r="J428" s="12">
        <v>76200</v>
      </c>
      <c r="K428" s="12">
        <v>2500</v>
      </c>
      <c r="L428" s="13">
        <v>0</v>
      </c>
      <c r="M428" s="13">
        <f>SUM(Employees_Tbl[[#This Row],[BASE SALARY]:[COMMISSION]])</f>
        <v>78700</v>
      </c>
      <c r="N428" s="11">
        <v>12</v>
      </c>
      <c r="O428" s="11">
        <v>9</v>
      </c>
      <c r="P428" s="11">
        <v>3</v>
      </c>
    </row>
    <row r="429" spans="1:16" x14ac:dyDescent="0.25">
      <c r="A429" s="11" t="s">
        <v>1019</v>
      </c>
      <c r="B429" s="11" t="s">
        <v>1020</v>
      </c>
      <c r="C429" s="11" t="s">
        <v>750</v>
      </c>
      <c r="D429" s="11" t="str">
        <f>Employees_Tbl[[#This Row],[LAST]] &amp;"." &amp; Employees_Tbl[[#This Row],[FIRST]]</f>
        <v>Ryan.Willie</v>
      </c>
      <c r="E429" s="11" t="s">
        <v>45</v>
      </c>
      <c r="F429" s="14">
        <v>43559</v>
      </c>
      <c r="G429" s="25">
        <f>YEAR(Employees_Tbl[[#This Row],[HIRE DATE]])</f>
        <v>2019</v>
      </c>
      <c r="H429" s="11" t="s">
        <v>434</v>
      </c>
      <c r="I429" s="11" t="s">
        <v>435</v>
      </c>
      <c r="J429" s="12">
        <v>75500</v>
      </c>
      <c r="K429" s="12">
        <v>1500</v>
      </c>
      <c r="L429" s="13">
        <v>0</v>
      </c>
      <c r="M429" s="13">
        <f>SUM(Employees_Tbl[[#This Row],[BASE SALARY]:[COMMISSION]])</f>
        <v>77000</v>
      </c>
      <c r="N429" s="11">
        <v>14</v>
      </c>
      <c r="O429" s="11">
        <v>4</v>
      </c>
      <c r="P429" s="11">
        <v>4</v>
      </c>
    </row>
    <row r="430" spans="1:16" x14ac:dyDescent="0.25">
      <c r="A430" s="11" t="s">
        <v>855</v>
      </c>
      <c r="B430" s="11" t="s">
        <v>856</v>
      </c>
      <c r="C430" s="11" t="s">
        <v>857</v>
      </c>
      <c r="D430" s="11" t="str">
        <f>Employees_Tbl[[#This Row],[LAST]] &amp;"." &amp; Employees_Tbl[[#This Row],[FIRST]]</f>
        <v>Pena.Eleanor</v>
      </c>
      <c r="E430" s="11" t="s">
        <v>45</v>
      </c>
      <c r="F430" s="14">
        <v>43279</v>
      </c>
      <c r="G430" s="25">
        <f>YEAR(Employees_Tbl[[#This Row],[HIRE DATE]])</f>
        <v>2018</v>
      </c>
      <c r="H430" s="11" t="s">
        <v>434</v>
      </c>
      <c r="I430" s="11" t="s">
        <v>435</v>
      </c>
      <c r="J430" s="12">
        <v>74200</v>
      </c>
      <c r="K430" s="12">
        <v>2500</v>
      </c>
      <c r="L430" s="13">
        <v>0</v>
      </c>
      <c r="M430" s="13">
        <f>SUM(Employees_Tbl[[#This Row],[BASE SALARY]:[COMMISSION]])</f>
        <v>76700</v>
      </c>
      <c r="N430" s="11">
        <v>17</v>
      </c>
      <c r="O430" s="11">
        <v>5</v>
      </c>
      <c r="P430" s="11">
        <v>5</v>
      </c>
    </row>
    <row r="431" spans="1:16" x14ac:dyDescent="0.25">
      <c r="A431" s="11" t="s">
        <v>1269</v>
      </c>
      <c r="B431" s="11" t="s">
        <v>1270</v>
      </c>
      <c r="C431" s="11" t="s">
        <v>373</v>
      </c>
      <c r="D431" s="11" t="str">
        <f>Employees_Tbl[[#This Row],[LAST]] &amp;"." &amp; Employees_Tbl[[#This Row],[FIRST]]</f>
        <v>Martin.Marion</v>
      </c>
      <c r="E431" s="11" t="s">
        <v>45</v>
      </c>
      <c r="F431" s="14">
        <v>43961</v>
      </c>
      <c r="G431" s="25">
        <f>YEAR(Employees_Tbl[[#This Row],[HIRE DATE]])</f>
        <v>2020</v>
      </c>
      <c r="H431" s="11" t="s">
        <v>434</v>
      </c>
      <c r="I431" s="11" t="s">
        <v>435</v>
      </c>
      <c r="J431" s="12">
        <v>74000</v>
      </c>
      <c r="K431" s="12">
        <v>2500</v>
      </c>
      <c r="L431" s="13">
        <v>0</v>
      </c>
      <c r="M431" s="13">
        <f>SUM(Employees_Tbl[[#This Row],[BASE SALARY]:[COMMISSION]])</f>
        <v>76500</v>
      </c>
      <c r="N431" s="11">
        <v>10</v>
      </c>
      <c r="O431" s="11">
        <v>3</v>
      </c>
      <c r="P431" s="11">
        <v>3</v>
      </c>
    </row>
    <row r="432" spans="1:16" x14ac:dyDescent="0.25">
      <c r="A432" s="11" t="s">
        <v>1271</v>
      </c>
      <c r="B432" s="11" t="s">
        <v>1272</v>
      </c>
      <c r="C432" s="11" t="s">
        <v>1273</v>
      </c>
      <c r="D432" s="11" t="str">
        <f>Employees_Tbl[[#This Row],[LAST]] &amp;"." &amp; Employees_Tbl[[#This Row],[FIRST]]</f>
        <v>Vessels.Anabel</v>
      </c>
      <c r="E432" s="11" t="s">
        <v>45</v>
      </c>
      <c r="F432" s="14">
        <v>43937</v>
      </c>
      <c r="G432" s="25">
        <f>YEAR(Employees_Tbl[[#This Row],[HIRE DATE]])</f>
        <v>2020</v>
      </c>
      <c r="H432" s="11" t="s">
        <v>434</v>
      </c>
      <c r="I432" s="11" t="s">
        <v>435</v>
      </c>
      <c r="J432" s="12">
        <v>73000</v>
      </c>
      <c r="K432" s="12">
        <v>2000</v>
      </c>
      <c r="L432" s="13">
        <v>0</v>
      </c>
      <c r="M432" s="13">
        <f>SUM(Employees_Tbl[[#This Row],[BASE SALARY]:[COMMISSION]])</f>
        <v>75000</v>
      </c>
      <c r="N432" s="11">
        <v>11</v>
      </c>
      <c r="O432" s="11">
        <v>5</v>
      </c>
      <c r="P432" s="11">
        <v>4</v>
      </c>
    </row>
    <row r="433" spans="1:16" x14ac:dyDescent="0.25">
      <c r="A433" s="11" t="s">
        <v>1016</v>
      </c>
      <c r="B433" s="11" t="s">
        <v>1017</v>
      </c>
      <c r="C433" s="11" t="s">
        <v>1018</v>
      </c>
      <c r="D433" s="11" t="str">
        <f>Employees_Tbl[[#This Row],[LAST]] &amp;"." &amp; Employees_Tbl[[#This Row],[FIRST]]</f>
        <v>Yu.Verlie</v>
      </c>
      <c r="E433" s="11" t="s">
        <v>45</v>
      </c>
      <c r="F433" s="14">
        <v>43797</v>
      </c>
      <c r="G433" s="25">
        <f>YEAR(Employees_Tbl[[#This Row],[HIRE DATE]])</f>
        <v>2019</v>
      </c>
      <c r="H433" s="11" t="s">
        <v>434</v>
      </c>
      <c r="I433" s="11" t="s">
        <v>435</v>
      </c>
      <c r="J433" s="12">
        <v>60900</v>
      </c>
      <c r="K433" s="12">
        <v>2000</v>
      </c>
      <c r="L433" s="13">
        <v>0</v>
      </c>
      <c r="M433" s="13">
        <f>SUM(Employees_Tbl[[#This Row],[BASE SALARY]:[COMMISSION]])</f>
        <v>62900</v>
      </c>
      <c r="N433" s="11">
        <v>16</v>
      </c>
      <c r="O433" s="11">
        <v>6</v>
      </c>
      <c r="P433" s="11">
        <v>5</v>
      </c>
    </row>
    <row r="434" spans="1:16" x14ac:dyDescent="0.25">
      <c r="A434" s="11" t="s">
        <v>1014</v>
      </c>
      <c r="B434" s="11" t="s">
        <v>515</v>
      </c>
      <c r="C434" s="11" t="s">
        <v>1015</v>
      </c>
      <c r="D434" s="11" t="str">
        <f>Employees_Tbl[[#This Row],[LAST]] &amp;"." &amp; Employees_Tbl[[#This Row],[FIRST]]</f>
        <v>Fant.George</v>
      </c>
      <c r="E434" s="11" t="s">
        <v>45</v>
      </c>
      <c r="F434" s="14">
        <v>43747</v>
      </c>
      <c r="G434" s="25">
        <f>YEAR(Employees_Tbl[[#This Row],[HIRE DATE]])</f>
        <v>2019</v>
      </c>
      <c r="H434" s="11" t="s">
        <v>434</v>
      </c>
      <c r="I434" s="11" t="s">
        <v>435</v>
      </c>
      <c r="J434" s="12">
        <v>55700</v>
      </c>
      <c r="K434" s="12">
        <v>1500</v>
      </c>
      <c r="L434" s="13">
        <v>0</v>
      </c>
      <c r="M434" s="13">
        <f>SUM(Employees_Tbl[[#This Row],[BASE SALARY]:[COMMISSION]])</f>
        <v>57200</v>
      </c>
      <c r="N434" s="11">
        <v>10</v>
      </c>
      <c r="O434" s="11">
        <v>5</v>
      </c>
      <c r="P434" s="11">
        <v>3</v>
      </c>
    </row>
    <row r="435" spans="1:16" x14ac:dyDescent="0.25">
      <c r="A435" s="11" t="s">
        <v>853</v>
      </c>
      <c r="B435" s="11" t="s">
        <v>39</v>
      </c>
      <c r="C435" s="11" t="s">
        <v>854</v>
      </c>
      <c r="D435" s="11" t="str">
        <f>Employees_Tbl[[#This Row],[LAST]] &amp;"." &amp; Employees_Tbl[[#This Row],[FIRST]]</f>
        <v>Buckley.Ann</v>
      </c>
      <c r="E435" s="11" t="s">
        <v>45</v>
      </c>
      <c r="F435" s="14">
        <v>43287</v>
      </c>
      <c r="G435" s="25">
        <f>YEAR(Employees_Tbl[[#This Row],[HIRE DATE]])</f>
        <v>2018</v>
      </c>
      <c r="H435" s="11" t="s">
        <v>434</v>
      </c>
      <c r="I435" s="11" t="s">
        <v>435</v>
      </c>
      <c r="J435" s="12">
        <v>54400</v>
      </c>
      <c r="K435" s="12">
        <v>2500</v>
      </c>
      <c r="L435" s="13">
        <v>0</v>
      </c>
      <c r="M435" s="13">
        <f>SUM(Employees_Tbl[[#This Row],[BASE SALARY]:[COMMISSION]])</f>
        <v>56900</v>
      </c>
      <c r="N435" s="11">
        <v>15</v>
      </c>
      <c r="O435" s="11">
        <v>7</v>
      </c>
      <c r="P435" s="11">
        <v>4</v>
      </c>
    </row>
    <row r="436" spans="1:16" x14ac:dyDescent="0.25">
      <c r="A436" s="11" t="s">
        <v>1012</v>
      </c>
      <c r="B436" s="11" t="s">
        <v>1013</v>
      </c>
      <c r="C436" s="11" t="s">
        <v>456</v>
      </c>
      <c r="D436" s="11" t="str">
        <f>Employees_Tbl[[#This Row],[LAST]] &amp;"." &amp; Employees_Tbl[[#This Row],[FIRST]]</f>
        <v>Bell.Jeffrey</v>
      </c>
      <c r="E436" s="11" t="s">
        <v>45</v>
      </c>
      <c r="F436" s="14">
        <v>43768</v>
      </c>
      <c r="G436" s="25">
        <f>YEAR(Employees_Tbl[[#This Row],[HIRE DATE]])</f>
        <v>2019</v>
      </c>
      <c r="H436" s="11" t="s">
        <v>434</v>
      </c>
      <c r="I436" s="11" t="s">
        <v>435</v>
      </c>
      <c r="J436" s="12">
        <v>46700</v>
      </c>
      <c r="K436" s="12">
        <v>1000</v>
      </c>
      <c r="L436" s="13">
        <v>0</v>
      </c>
      <c r="M436" s="13">
        <f>SUM(Employees_Tbl[[#This Row],[BASE SALARY]:[COMMISSION]])</f>
        <v>47700</v>
      </c>
      <c r="N436" s="11">
        <v>13</v>
      </c>
      <c r="O436" s="11">
        <v>5</v>
      </c>
      <c r="P436" s="11">
        <v>5</v>
      </c>
    </row>
    <row r="437" spans="1:16" x14ac:dyDescent="0.25">
      <c r="A437" s="11" t="s">
        <v>1266</v>
      </c>
      <c r="B437" s="11" t="s">
        <v>1267</v>
      </c>
      <c r="C437" s="11" t="s">
        <v>1268</v>
      </c>
      <c r="D437" s="11" t="str">
        <f>Employees_Tbl[[#This Row],[LAST]] &amp;"." &amp; Employees_Tbl[[#This Row],[FIRST]]</f>
        <v>Rosier.Wesley</v>
      </c>
      <c r="E437" s="11" t="s">
        <v>45</v>
      </c>
      <c r="F437" s="14">
        <v>43838</v>
      </c>
      <c r="G437" s="25">
        <f>YEAR(Employees_Tbl[[#This Row],[HIRE DATE]])</f>
        <v>2020</v>
      </c>
      <c r="H437" s="11" t="s">
        <v>434</v>
      </c>
      <c r="I437" s="11" t="s">
        <v>435</v>
      </c>
      <c r="J437" s="12">
        <v>37400</v>
      </c>
      <c r="K437" s="12">
        <v>1500</v>
      </c>
      <c r="L437" s="13">
        <v>0</v>
      </c>
      <c r="M437" s="13">
        <f>SUM(Employees_Tbl[[#This Row],[BASE SALARY]:[COMMISSION]])</f>
        <v>38900</v>
      </c>
      <c r="N437" s="11">
        <v>10</v>
      </c>
      <c r="O437" s="11">
        <v>6</v>
      </c>
      <c r="P437" s="11">
        <v>2</v>
      </c>
    </row>
    <row r="438" spans="1:16" x14ac:dyDescent="0.25">
      <c r="A438" s="11" t="s">
        <v>1326</v>
      </c>
      <c r="B438" s="11" t="s">
        <v>1010</v>
      </c>
      <c r="C438" s="11" t="s">
        <v>1011</v>
      </c>
      <c r="D438" s="11" t="str">
        <f>Employees_Tbl[[#This Row],[LAST]] &amp;"." &amp; Employees_Tbl[[#This Row],[FIRST]]</f>
        <v>Oates.Sara</v>
      </c>
      <c r="E438" s="11" t="s">
        <v>45</v>
      </c>
      <c r="F438" s="14">
        <v>43503</v>
      </c>
      <c r="G438" s="25">
        <f>YEAR(Employees_Tbl[[#This Row],[HIRE DATE]])</f>
        <v>2019</v>
      </c>
      <c r="H438" s="11" t="s">
        <v>434</v>
      </c>
      <c r="I438" s="11" t="s">
        <v>435</v>
      </c>
      <c r="J438" s="12">
        <v>34300</v>
      </c>
      <c r="K438" s="12">
        <v>1000</v>
      </c>
      <c r="L438" s="13">
        <v>0</v>
      </c>
      <c r="M438" s="13">
        <f>SUM(Employees_Tbl[[#This Row],[BASE SALARY]:[COMMISSION]])</f>
        <v>35300</v>
      </c>
      <c r="N438" s="11">
        <v>18</v>
      </c>
      <c r="O438" s="11">
        <v>0</v>
      </c>
      <c r="P438" s="11">
        <v>3</v>
      </c>
    </row>
    <row r="439" spans="1:16" x14ac:dyDescent="0.25">
      <c r="A439" s="11" t="s">
        <v>479</v>
      </c>
      <c r="B439" s="11" t="s">
        <v>480</v>
      </c>
      <c r="C439" s="11" t="s">
        <v>481</v>
      </c>
      <c r="D439" s="11" t="str">
        <f>Employees_Tbl[[#This Row],[LAST]] &amp;"." &amp; Employees_Tbl[[#This Row],[FIRST]]</f>
        <v>Ayer.Dana</v>
      </c>
      <c r="E439" s="11" t="s">
        <v>45</v>
      </c>
      <c r="F439" s="14">
        <v>42646</v>
      </c>
      <c r="G439" s="25">
        <f>YEAR(Employees_Tbl[[#This Row],[HIRE DATE]])</f>
        <v>2016</v>
      </c>
      <c r="H439" s="11" t="s">
        <v>434</v>
      </c>
      <c r="I439" s="11" t="s">
        <v>435</v>
      </c>
      <c r="J439" s="12">
        <v>33100</v>
      </c>
      <c r="K439" s="12">
        <v>1000</v>
      </c>
      <c r="L439" s="13">
        <v>0</v>
      </c>
      <c r="M439" s="13">
        <f>SUM(Employees_Tbl[[#This Row],[BASE SALARY]:[COMMISSION]])</f>
        <v>34100</v>
      </c>
      <c r="N439" s="11">
        <v>12</v>
      </c>
      <c r="O439" s="11">
        <v>4</v>
      </c>
      <c r="P439" s="11">
        <v>5</v>
      </c>
    </row>
    <row r="440" spans="1:16" x14ac:dyDescent="0.25">
      <c r="A440" s="11" t="s">
        <v>658</v>
      </c>
      <c r="B440" s="11" t="s">
        <v>91</v>
      </c>
      <c r="C440" s="11" t="s">
        <v>659</v>
      </c>
      <c r="D440" s="11" t="str">
        <f>Employees_Tbl[[#This Row],[LAST]] &amp;"." &amp; Employees_Tbl[[#This Row],[FIRST]]</f>
        <v>Holmes.Robert</v>
      </c>
      <c r="E440" s="11" t="s">
        <v>45</v>
      </c>
      <c r="F440" s="14">
        <v>42899</v>
      </c>
      <c r="G440" s="25">
        <f>YEAR(Employees_Tbl[[#This Row],[HIRE DATE]])</f>
        <v>2017</v>
      </c>
      <c r="H440" s="11" t="s">
        <v>434</v>
      </c>
      <c r="I440" s="11" t="s">
        <v>435</v>
      </c>
      <c r="J440" s="12">
        <v>31700</v>
      </c>
      <c r="K440" s="12">
        <v>1000</v>
      </c>
      <c r="L440" s="13">
        <v>0</v>
      </c>
      <c r="M440" s="13">
        <f>SUM(Employees_Tbl[[#This Row],[BASE SALARY]:[COMMISSION]])</f>
        <v>32700</v>
      </c>
      <c r="N440" s="11">
        <v>15</v>
      </c>
      <c r="O440" s="11">
        <v>7</v>
      </c>
      <c r="P440" s="11">
        <v>3</v>
      </c>
    </row>
    <row r="441" spans="1:16" x14ac:dyDescent="0.25">
      <c r="A441" s="11" t="s">
        <v>859</v>
      </c>
      <c r="B441" s="11" t="s">
        <v>429</v>
      </c>
      <c r="C441" s="11" t="s">
        <v>368</v>
      </c>
      <c r="D441" s="11" t="str">
        <f>Employees_Tbl[[#This Row],[LAST]] &amp;"." &amp; Employees_Tbl[[#This Row],[FIRST]]</f>
        <v>Scott.Debra</v>
      </c>
      <c r="E441" s="11" t="s">
        <v>49</v>
      </c>
      <c r="F441" s="14">
        <v>43128</v>
      </c>
      <c r="G441" s="25">
        <f>YEAR(Employees_Tbl[[#This Row],[HIRE DATE]])</f>
        <v>2018</v>
      </c>
      <c r="H441" s="11" t="s">
        <v>434</v>
      </c>
      <c r="I441" s="11" t="s">
        <v>435</v>
      </c>
      <c r="J441" s="12">
        <v>68800</v>
      </c>
      <c r="K441" s="12">
        <v>2000</v>
      </c>
      <c r="L441" s="13">
        <v>42900</v>
      </c>
      <c r="M441" s="13">
        <f>SUM(Employees_Tbl[[#This Row],[BASE SALARY]:[COMMISSION]])</f>
        <v>113700</v>
      </c>
      <c r="N441" s="11">
        <v>11</v>
      </c>
      <c r="O441" s="11">
        <v>9</v>
      </c>
      <c r="P441" s="11">
        <v>2</v>
      </c>
    </row>
    <row r="442" spans="1:16" x14ac:dyDescent="0.25">
      <c r="A442" s="11" t="s">
        <v>1029</v>
      </c>
      <c r="B442" s="11" t="s">
        <v>368</v>
      </c>
      <c r="C442" s="11" t="s">
        <v>881</v>
      </c>
      <c r="D442" s="11" t="str">
        <f>Employees_Tbl[[#This Row],[LAST]] &amp;"." &amp; Employees_Tbl[[#This Row],[FIRST]]</f>
        <v>Davis.Scott</v>
      </c>
      <c r="E442" s="11" t="s">
        <v>49</v>
      </c>
      <c r="F442" s="14">
        <v>43731</v>
      </c>
      <c r="G442" s="25">
        <f>YEAR(Employees_Tbl[[#This Row],[HIRE DATE]])</f>
        <v>2019</v>
      </c>
      <c r="H442" s="11" t="s">
        <v>434</v>
      </c>
      <c r="I442" s="11" t="s">
        <v>435</v>
      </c>
      <c r="J442" s="12">
        <v>63600</v>
      </c>
      <c r="K442" s="12">
        <v>2000</v>
      </c>
      <c r="L442" s="13">
        <v>18900</v>
      </c>
      <c r="M442" s="13">
        <f>SUM(Employees_Tbl[[#This Row],[BASE SALARY]:[COMMISSION]])</f>
        <v>84500</v>
      </c>
      <c r="N442" s="11">
        <v>12</v>
      </c>
      <c r="O442" s="11">
        <v>11</v>
      </c>
      <c r="P442" s="11">
        <v>4</v>
      </c>
    </row>
    <row r="443" spans="1:16" x14ac:dyDescent="0.25">
      <c r="A443" s="11" t="s">
        <v>858</v>
      </c>
      <c r="B443" s="11" t="s">
        <v>1267</v>
      </c>
      <c r="C443" s="11" t="s">
        <v>1318</v>
      </c>
      <c r="D443" s="11" t="str">
        <f>Employees_Tbl[[#This Row],[LAST]] &amp;"." &amp; Employees_Tbl[[#This Row],[FIRST]]</f>
        <v>Cho.Wesley</v>
      </c>
      <c r="E443" s="11" t="s">
        <v>49</v>
      </c>
      <c r="F443" s="14">
        <v>43402</v>
      </c>
      <c r="G443" s="25">
        <f>YEAR(Employees_Tbl[[#This Row],[HIRE DATE]])</f>
        <v>2018</v>
      </c>
      <c r="H443" s="11" t="s">
        <v>434</v>
      </c>
      <c r="I443" s="11" t="s">
        <v>435</v>
      </c>
      <c r="J443" s="12">
        <v>55800</v>
      </c>
      <c r="K443" s="12">
        <v>1500</v>
      </c>
      <c r="L443" s="13">
        <v>21400</v>
      </c>
      <c r="M443" s="13">
        <f>SUM(Employees_Tbl[[#This Row],[BASE SALARY]:[COMMISSION]])</f>
        <v>78700</v>
      </c>
      <c r="N443" s="11">
        <v>12</v>
      </c>
      <c r="O443" s="11">
        <v>10</v>
      </c>
      <c r="P443" s="11">
        <v>4</v>
      </c>
    </row>
    <row r="444" spans="1:16" x14ac:dyDescent="0.25">
      <c r="A444" s="11" t="s">
        <v>666</v>
      </c>
      <c r="B444" s="11" t="s">
        <v>667</v>
      </c>
      <c r="C444" s="11" t="s">
        <v>668</v>
      </c>
      <c r="D444" s="11" t="str">
        <f>Employees_Tbl[[#This Row],[LAST]] &amp;"." &amp; Employees_Tbl[[#This Row],[FIRST]]</f>
        <v>Meeker.Pearl</v>
      </c>
      <c r="E444" s="11" t="s">
        <v>49</v>
      </c>
      <c r="F444" s="14">
        <v>43016</v>
      </c>
      <c r="G444" s="25">
        <f>YEAR(Employees_Tbl[[#This Row],[HIRE DATE]])</f>
        <v>2017</v>
      </c>
      <c r="H444" s="11" t="s">
        <v>434</v>
      </c>
      <c r="I444" s="11" t="s">
        <v>435</v>
      </c>
      <c r="J444" s="12">
        <v>54400</v>
      </c>
      <c r="K444" s="12">
        <v>1500</v>
      </c>
      <c r="L444" s="13">
        <v>38200</v>
      </c>
      <c r="M444" s="13">
        <f>SUM(Employees_Tbl[[#This Row],[BASE SALARY]:[COMMISSION]])</f>
        <v>94100</v>
      </c>
      <c r="N444" s="11">
        <v>13</v>
      </c>
      <c r="O444" s="11">
        <v>8</v>
      </c>
      <c r="P444" s="11">
        <v>5</v>
      </c>
    </row>
    <row r="445" spans="1:16" x14ac:dyDescent="0.25">
      <c r="A445" s="11" t="s">
        <v>491</v>
      </c>
      <c r="B445" s="11" t="s">
        <v>492</v>
      </c>
      <c r="C445" s="11" t="s">
        <v>493</v>
      </c>
      <c r="D445" s="11" t="str">
        <f>Employees_Tbl[[#This Row],[LAST]] &amp;"." &amp; Employees_Tbl[[#This Row],[FIRST]]</f>
        <v>Morrissette.Tara</v>
      </c>
      <c r="E445" s="11" t="s">
        <v>49</v>
      </c>
      <c r="F445" s="14">
        <v>42473</v>
      </c>
      <c r="G445" s="25">
        <f>YEAR(Employees_Tbl[[#This Row],[HIRE DATE]])</f>
        <v>2016</v>
      </c>
      <c r="H445" s="11" t="s">
        <v>434</v>
      </c>
      <c r="I445" s="11" t="s">
        <v>435</v>
      </c>
      <c r="J445" s="12">
        <v>51700</v>
      </c>
      <c r="K445" s="12">
        <v>2000</v>
      </c>
      <c r="L445" s="13">
        <v>13300</v>
      </c>
      <c r="M445" s="13">
        <f>SUM(Employees_Tbl[[#This Row],[BASE SALARY]:[COMMISSION]])</f>
        <v>67000</v>
      </c>
      <c r="N445" s="11">
        <v>10</v>
      </c>
      <c r="O445" s="11">
        <v>12</v>
      </c>
      <c r="P445" s="11">
        <v>3</v>
      </c>
    </row>
    <row r="446" spans="1:16" x14ac:dyDescent="0.25">
      <c r="A446" s="11" t="s">
        <v>497</v>
      </c>
      <c r="B446" s="11" t="s">
        <v>193</v>
      </c>
      <c r="C446" s="11" t="s">
        <v>498</v>
      </c>
      <c r="D446" s="11" t="str">
        <f>Employees_Tbl[[#This Row],[LAST]] &amp;"." &amp; Employees_Tbl[[#This Row],[FIRST]]</f>
        <v>Sluss.Patricia</v>
      </c>
      <c r="E446" s="11" t="s">
        <v>49</v>
      </c>
      <c r="F446" s="14">
        <v>42462</v>
      </c>
      <c r="G446" s="25">
        <f>YEAR(Employees_Tbl[[#This Row],[HIRE DATE]])</f>
        <v>2016</v>
      </c>
      <c r="H446" s="11" t="s">
        <v>434</v>
      </c>
      <c r="I446" s="11" t="s">
        <v>435</v>
      </c>
      <c r="J446" s="12">
        <v>49600</v>
      </c>
      <c r="K446" s="12">
        <v>1500</v>
      </c>
      <c r="L446" s="13">
        <v>42900</v>
      </c>
      <c r="M446" s="13">
        <f>SUM(Employees_Tbl[[#This Row],[BASE SALARY]:[COMMISSION]])</f>
        <v>94000</v>
      </c>
      <c r="N446" s="11">
        <v>15</v>
      </c>
      <c r="O446" s="11">
        <v>9</v>
      </c>
      <c r="P446" s="11">
        <v>3</v>
      </c>
    </row>
    <row r="447" spans="1:16" x14ac:dyDescent="0.25">
      <c r="A447" s="11" t="s">
        <v>1284</v>
      </c>
      <c r="B447" s="11" t="s">
        <v>626</v>
      </c>
      <c r="C447" s="11" t="s">
        <v>1034</v>
      </c>
      <c r="D447" s="11" t="str">
        <f>Employees_Tbl[[#This Row],[LAST]] &amp;"." &amp; Employees_Tbl[[#This Row],[FIRST]]</f>
        <v>Bailey.Larry</v>
      </c>
      <c r="E447" s="11" t="s">
        <v>49</v>
      </c>
      <c r="F447" s="14">
        <v>43895</v>
      </c>
      <c r="G447" s="25">
        <f>YEAR(Employees_Tbl[[#This Row],[HIRE DATE]])</f>
        <v>2020</v>
      </c>
      <c r="H447" s="11" t="s">
        <v>434</v>
      </c>
      <c r="I447" s="11" t="s">
        <v>435</v>
      </c>
      <c r="J447" s="12">
        <v>49100</v>
      </c>
      <c r="K447" s="12">
        <v>1500</v>
      </c>
      <c r="L447" s="13">
        <v>26100</v>
      </c>
      <c r="M447" s="13">
        <f>SUM(Employees_Tbl[[#This Row],[BASE SALARY]:[COMMISSION]])</f>
        <v>76700</v>
      </c>
      <c r="N447" s="11">
        <v>15</v>
      </c>
      <c r="O447" s="11">
        <v>10</v>
      </c>
      <c r="P447" s="11">
        <v>4</v>
      </c>
    </row>
    <row r="448" spans="1:16" x14ac:dyDescent="0.25">
      <c r="A448" s="11" t="s">
        <v>499</v>
      </c>
      <c r="B448" s="11" t="s">
        <v>114</v>
      </c>
      <c r="C448" s="11" t="s">
        <v>327</v>
      </c>
      <c r="D448" s="11" t="str">
        <f>Employees_Tbl[[#This Row],[LAST]] &amp;"." &amp; Employees_Tbl[[#This Row],[FIRST]]</f>
        <v>Rodriguez.William</v>
      </c>
      <c r="E448" s="11" t="s">
        <v>49</v>
      </c>
      <c r="F448" s="14">
        <v>42605</v>
      </c>
      <c r="G448" s="25">
        <f>YEAR(Employees_Tbl[[#This Row],[HIRE DATE]])</f>
        <v>2016</v>
      </c>
      <c r="H448" s="11" t="s">
        <v>434</v>
      </c>
      <c r="I448" s="11" t="s">
        <v>435</v>
      </c>
      <c r="J448" s="12">
        <v>44500</v>
      </c>
      <c r="K448" s="12">
        <v>1500</v>
      </c>
      <c r="L448" s="13">
        <v>64700</v>
      </c>
      <c r="M448" s="13">
        <f>SUM(Employees_Tbl[[#This Row],[BASE SALARY]:[COMMISSION]])</f>
        <v>110700</v>
      </c>
      <c r="N448" s="11">
        <v>11</v>
      </c>
      <c r="O448" s="11">
        <v>6</v>
      </c>
      <c r="P448" s="11">
        <v>4</v>
      </c>
    </row>
    <row r="449" spans="1:16" x14ac:dyDescent="0.25">
      <c r="A449" s="11" t="s">
        <v>661</v>
      </c>
      <c r="B449" s="11" t="s">
        <v>662</v>
      </c>
      <c r="C449" s="11" t="s">
        <v>663</v>
      </c>
      <c r="D449" s="11" t="str">
        <f>Employees_Tbl[[#This Row],[LAST]] &amp;"." &amp; Employees_Tbl[[#This Row],[FIRST]]</f>
        <v>Perrone.Collene</v>
      </c>
      <c r="E449" s="11" t="s">
        <v>49</v>
      </c>
      <c r="F449" s="14">
        <v>42784</v>
      </c>
      <c r="G449" s="25">
        <f>YEAR(Employees_Tbl[[#This Row],[HIRE DATE]])</f>
        <v>2017</v>
      </c>
      <c r="H449" s="11" t="s">
        <v>434</v>
      </c>
      <c r="I449" s="11" t="s">
        <v>435</v>
      </c>
      <c r="J449" s="12">
        <v>44400</v>
      </c>
      <c r="K449" s="12">
        <v>1500</v>
      </c>
      <c r="L449" s="13">
        <v>26700</v>
      </c>
      <c r="M449" s="13">
        <f>SUM(Employees_Tbl[[#This Row],[BASE SALARY]:[COMMISSION]])</f>
        <v>72600</v>
      </c>
      <c r="N449" s="11">
        <v>14</v>
      </c>
      <c r="O449" s="11">
        <v>10</v>
      </c>
      <c r="P449" s="11">
        <v>4</v>
      </c>
    </row>
    <row r="450" spans="1:16" x14ac:dyDescent="0.25">
      <c r="A450" s="11" t="s">
        <v>664</v>
      </c>
      <c r="B450" s="11" t="s">
        <v>24</v>
      </c>
      <c r="C450" s="11" t="s">
        <v>665</v>
      </c>
      <c r="D450" s="11" t="str">
        <f>Employees_Tbl[[#This Row],[LAST]] &amp;"." &amp; Employees_Tbl[[#This Row],[FIRST]]</f>
        <v>Vine.Maria</v>
      </c>
      <c r="E450" s="11" t="s">
        <v>49</v>
      </c>
      <c r="F450" s="14">
        <v>42857</v>
      </c>
      <c r="G450" s="25">
        <f>YEAR(Employees_Tbl[[#This Row],[HIRE DATE]])</f>
        <v>2017</v>
      </c>
      <c r="H450" s="11" t="s">
        <v>434</v>
      </c>
      <c r="I450" s="11" t="s">
        <v>435</v>
      </c>
      <c r="J450" s="12">
        <v>41500</v>
      </c>
      <c r="K450" s="12">
        <v>1000</v>
      </c>
      <c r="L450" s="13">
        <v>36100</v>
      </c>
      <c r="M450" s="13">
        <f>SUM(Employees_Tbl[[#This Row],[BASE SALARY]:[COMMISSION]])</f>
        <v>78600</v>
      </c>
      <c r="N450" s="11">
        <v>13</v>
      </c>
      <c r="O450" s="11">
        <v>10</v>
      </c>
      <c r="P450" s="11">
        <v>2</v>
      </c>
    </row>
    <row r="451" spans="1:16" x14ac:dyDescent="0.25">
      <c r="A451" s="11" t="s">
        <v>494</v>
      </c>
      <c r="B451" s="11" t="s">
        <v>495</v>
      </c>
      <c r="C451" s="11" t="s">
        <v>496</v>
      </c>
      <c r="D451" s="11" t="str">
        <f>Employees_Tbl[[#This Row],[LAST]] &amp;"." &amp; Employees_Tbl[[#This Row],[FIRST]]</f>
        <v>Walker.Max</v>
      </c>
      <c r="E451" s="11" t="s">
        <v>49</v>
      </c>
      <c r="F451" s="14">
        <v>42565</v>
      </c>
      <c r="G451" s="25">
        <f>YEAR(Employees_Tbl[[#This Row],[HIRE DATE]])</f>
        <v>2016</v>
      </c>
      <c r="H451" s="11" t="s">
        <v>434</v>
      </c>
      <c r="I451" s="11" t="s">
        <v>435</v>
      </c>
      <c r="J451" s="12">
        <v>40400</v>
      </c>
      <c r="K451" s="12">
        <v>1000</v>
      </c>
      <c r="L451" s="13">
        <v>46900</v>
      </c>
      <c r="M451" s="13">
        <f>SUM(Employees_Tbl[[#This Row],[BASE SALARY]:[COMMISSION]])</f>
        <v>88300</v>
      </c>
      <c r="N451" s="11">
        <v>17</v>
      </c>
      <c r="O451" s="11">
        <v>4</v>
      </c>
      <c r="P451" s="11">
        <v>5</v>
      </c>
    </row>
    <row r="452" spans="1:16" x14ac:dyDescent="0.25">
      <c r="A452" s="11" t="s">
        <v>1030</v>
      </c>
      <c r="B452" s="11" t="s">
        <v>830</v>
      </c>
      <c r="C452" s="11" t="s">
        <v>1031</v>
      </c>
      <c r="D452" s="11" t="str">
        <f>Employees_Tbl[[#This Row],[LAST]] &amp;"." &amp; Employees_Tbl[[#This Row],[FIRST]]</f>
        <v>Cobb.Joseph</v>
      </c>
      <c r="E452" s="11" t="s">
        <v>49</v>
      </c>
      <c r="F452" s="14">
        <v>43666</v>
      </c>
      <c r="G452" s="25">
        <f>YEAR(Employees_Tbl[[#This Row],[HIRE DATE]])</f>
        <v>2019</v>
      </c>
      <c r="H452" s="11" t="s">
        <v>434</v>
      </c>
      <c r="I452" s="11" t="s">
        <v>435</v>
      </c>
      <c r="J452" s="12">
        <v>36100</v>
      </c>
      <c r="K452" s="12">
        <v>1500</v>
      </c>
      <c r="L452" s="13">
        <v>55600</v>
      </c>
      <c r="M452" s="13">
        <f>SUM(Employees_Tbl[[#This Row],[BASE SALARY]:[COMMISSION]])</f>
        <v>93200</v>
      </c>
      <c r="N452" s="11">
        <v>10</v>
      </c>
      <c r="O452" s="11">
        <v>4</v>
      </c>
      <c r="P452" s="11">
        <v>5</v>
      </c>
    </row>
    <row r="453" spans="1:16" x14ac:dyDescent="0.25">
      <c r="A453" s="11" t="s">
        <v>1024</v>
      </c>
      <c r="B453" s="11" t="s">
        <v>1025</v>
      </c>
      <c r="C453" s="11" t="s">
        <v>1026</v>
      </c>
      <c r="D453" s="11" t="str">
        <f>Employees_Tbl[[#This Row],[LAST]] &amp;"." &amp; Employees_Tbl[[#This Row],[FIRST]]</f>
        <v>Mercer.Kent</v>
      </c>
      <c r="E453" s="11" t="s">
        <v>49</v>
      </c>
      <c r="F453" s="14">
        <v>43544</v>
      </c>
      <c r="G453" s="25">
        <f>YEAR(Employees_Tbl[[#This Row],[HIRE DATE]])</f>
        <v>2019</v>
      </c>
      <c r="H453" s="11" t="s">
        <v>434</v>
      </c>
      <c r="I453" s="11" t="s">
        <v>435</v>
      </c>
      <c r="J453" s="12">
        <v>35800</v>
      </c>
      <c r="K453" s="12">
        <v>1000</v>
      </c>
      <c r="L453" s="13">
        <v>4200</v>
      </c>
      <c r="M453" s="13">
        <f>SUM(Employees_Tbl[[#This Row],[BASE SALARY]:[COMMISSION]])</f>
        <v>41000</v>
      </c>
      <c r="N453" s="11">
        <v>18</v>
      </c>
      <c r="O453" s="11">
        <v>9</v>
      </c>
      <c r="P453" s="11">
        <v>3</v>
      </c>
    </row>
    <row r="454" spans="1:16" x14ac:dyDescent="0.25">
      <c r="A454" s="11" t="s">
        <v>1027</v>
      </c>
      <c r="B454" s="11" t="s">
        <v>1028</v>
      </c>
      <c r="C454" s="11" t="s">
        <v>373</v>
      </c>
      <c r="D454" s="11" t="str">
        <f>Employees_Tbl[[#This Row],[LAST]] &amp;"." &amp; Employees_Tbl[[#This Row],[FIRST]]</f>
        <v>Martin.Valerie</v>
      </c>
      <c r="E454" s="11" t="s">
        <v>49</v>
      </c>
      <c r="F454" s="14">
        <v>43619</v>
      </c>
      <c r="G454" s="25">
        <f>YEAR(Employees_Tbl[[#This Row],[HIRE DATE]])</f>
        <v>2019</v>
      </c>
      <c r="H454" s="11" t="s">
        <v>434</v>
      </c>
      <c r="I454" s="11" t="s">
        <v>435</v>
      </c>
      <c r="J454" s="12">
        <v>34100</v>
      </c>
      <c r="K454" s="12">
        <v>500</v>
      </c>
      <c r="L454" s="13">
        <v>31500</v>
      </c>
      <c r="M454" s="13">
        <f>SUM(Employees_Tbl[[#This Row],[BASE SALARY]:[COMMISSION]])</f>
        <v>66100</v>
      </c>
      <c r="N454" s="11">
        <v>18</v>
      </c>
      <c r="O454" s="11">
        <v>6</v>
      </c>
      <c r="P454" s="11">
        <v>5</v>
      </c>
    </row>
    <row r="455" spans="1:16" x14ac:dyDescent="0.25">
      <c r="A455" s="11" t="s">
        <v>488</v>
      </c>
      <c r="B455" s="11" t="s">
        <v>489</v>
      </c>
      <c r="C455" s="11" t="s">
        <v>490</v>
      </c>
      <c r="D455" s="11" t="str">
        <f>Employees_Tbl[[#This Row],[LAST]] &amp;"." &amp; Employees_Tbl[[#This Row],[FIRST]]</f>
        <v>Laborde.Lesli</v>
      </c>
      <c r="E455" s="11" t="s">
        <v>49</v>
      </c>
      <c r="F455" s="14">
        <v>42419</v>
      </c>
      <c r="G455" s="25">
        <f>YEAR(Employees_Tbl[[#This Row],[HIRE DATE]])</f>
        <v>2016</v>
      </c>
      <c r="H455" s="11" t="s">
        <v>434</v>
      </c>
      <c r="I455" s="11" t="s">
        <v>435</v>
      </c>
      <c r="J455" s="12">
        <v>33100</v>
      </c>
      <c r="K455" s="12">
        <v>1500</v>
      </c>
      <c r="L455" s="13">
        <v>23700</v>
      </c>
      <c r="M455" s="13">
        <f>SUM(Employees_Tbl[[#This Row],[BASE SALARY]:[COMMISSION]])</f>
        <v>58300</v>
      </c>
      <c r="N455" s="11">
        <v>14</v>
      </c>
      <c r="O455" s="11">
        <v>9</v>
      </c>
      <c r="P455" s="11">
        <v>2</v>
      </c>
    </row>
    <row r="456" spans="1:16" x14ac:dyDescent="0.25">
      <c r="A456" s="11" t="s">
        <v>485</v>
      </c>
      <c r="B456" s="11" t="s">
        <v>486</v>
      </c>
      <c r="C456" s="11" t="s">
        <v>487</v>
      </c>
      <c r="D456" s="11" t="str">
        <f>Employees_Tbl[[#This Row],[LAST]] &amp;"." &amp; Employees_Tbl[[#This Row],[FIRST]]</f>
        <v>Adams.Andrew</v>
      </c>
      <c r="E456" s="11" t="s">
        <v>49</v>
      </c>
      <c r="F456" s="14">
        <v>42707</v>
      </c>
      <c r="G456" s="25">
        <f>YEAR(Employees_Tbl[[#This Row],[HIRE DATE]])</f>
        <v>2016</v>
      </c>
      <c r="H456" s="11" t="s">
        <v>434</v>
      </c>
      <c r="I456" s="11" t="s">
        <v>435</v>
      </c>
      <c r="J456" s="12">
        <v>33100</v>
      </c>
      <c r="K456" s="12">
        <v>1000</v>
      </c>
      <c r="L456" s="13">
        <v>22400</v>
      </c>
      <c r="M456" s="13">
        <f>SUM(Employees_Tbl[[#This Row],[BASE SALARY]:[COMMISSION]])</f>
        <v>56500</v>
      </c>
      <c r="N456" s="11">
        <v>13</v>
      </c>
      <c r="O456" s="11">
        <v>8</v>
      </c>
      <c r="P456" s="11">
        <v>3</v>
      </c>
    </row>
    <row r="457" spans="1:16" x14ac:dyDescent="0.25">
      <c r="A457" s="11" t="s">
        <v>660</v>
      </c>
      <c r="B457" s="11" t="s">
        <v>114</v>
      </c>
      <c r="C457" s="11" t="s">
        <v>178</v>
      </c>
      <c r="D457" s="11" t="str">
        <f>Employees_Tbl[[#This Row],[LAST]] &amp;"." &amp; Employees_Tbl[[#This Row],[FIRST]]</f>
        <v>Bruce.William</v>
      </c>
      <c r="E457" s="11" t="s">
        <v>49</v>
      </c>
      <c r="F457" s="14">
        <v>43023</v>
      </c>
      <c r="G457" s="25">
        <f>YEAR(Employees_Tbl[[#This Row],[HIRE DATE]])</f>
        <v>2017</v>
      </c>
      <c r="H457" s="11" t="s">
        <v>434</v>
      </c>
      <c r="I457" s="11" t="s">
        <v>435</v>
      </c>
      <c r="J457" s="12">
        <v>29000</v>
      </c>
      <c r="K457" s="12">
        <v>500</v>
      </c>
      <c r="L457" s="13">
        <v>32300</v>
      </c>
      <c r="M457" s="13">
        <f>SUM(Employees_Tbl[[#This Row],[BASE SALARY]:[COMMISSION]])</f>
        <v>61800</v>
      </c>
      <c r="N457" s="11">
        <v>13</v>
      </c>
      <c r="O457" s="11">
        <v>13</v>
      </c>
      <c r="P457" s="11">
        <v>5</v>
      </c>
    </row>
    <row r="458" spans="1:16" x14ac:dyDescent="0.25">
      <c r="A458" s="11" t="s">
        <v>1282</v>
      </c>
      <c r="B458" s="11" t="s">
        <v>1283</v>
      </c>
      <c r="C458" s="11" t="s">
        <v>947</v>
      </c>
      <c r="D458" s="11" t="str">
        <f>Employees_Tbl[[#This Row],[LAST]] &amp;"." &amp; Employees_Tbl[[#This Row],[FIRST]]</f>
        <v>Green.Cheyenne</v>
      </c>
      <c r="E458" s="11" t="s">
        <v>49</v>
      </c>
      <c r="F458" s="14">
        <v>43842</v>
      </c>
      <c r="G458" s="25">
        <f>YEAR(Employees_Tbl[[#This Row],[HIRE DATE]])</f>
        <v>2020</v>
      </c>
      <c r="H458" s="11" t="s">
        <v>434</v>
      </c>
      <c r="I458" s="11" t="s">
        <v>435</v>
      </c>
      <c r="J458" s="12">
        <v>28200</v>
      </c>
      <c r="K458" s="12">
        <v>500</v>
      </c>
      <c r="L458" s="13">
        <v>42200</v>
      </c>
      <c r="M458" s="13">
        <f>SUM(Employees_Tbl[[#This Row],[BASE SALARY]:[COMMISSION]])</f>
        <v>70900</v>
      </c>
      <c r="N458" s="11">
        <v>16</v>
      </c>
      <c r="O458" s="11">
        <v>2</v>
      </c>
      <c r="P458" s="11">
        <v>2</v>
      </c>
    </row>
    <row r="459" spans="1:16" x14ac:dyDescent="0.25">
      <c r="A459" s="11" t="s">
        <v>716</v>
      </c>
      <c r="B459" s="11" t="s">
        <v>617</v>
      </c>
      <c r="C459" s="11" t="s">
        <v>717</v>
      </c>
      <c r="D459" s="11" t="str">
        <f>Employees_Tbl[[#This Row],[LAST]] &amp;"." &amp; Employees_Tbl[[#This Row],[FIRST]]</f>
        <v>Chiles.Gerald</v>
      </c>
      <c r="E459" s="11" t="s">
        <v>53</v>
      </c>
      <c r="F459" s="14">
        <v>43262</v>
      </c>
      <c r="G459" s="25">
        <f>YEAR(Employees_Tbl[[#This Row],[HIRE DATE]])</f>
        <v>2018</v>
      </c>
      <c r="H459" s="11" t="s">
        <v>705</v>
      </c>
      <c r="I459" s="11" t="s">
        <v>706</v>
      </c>
      <c r="J459" s="12">
        <v>87800</v>
      </c>
      <c r="K459" s="12">
        <v>2500</v>
      </c>
      <c r="L459" s="13">
        <v>0</v>
      </c>
      <c r="M459" s="13">
        <f>SUM(Employees_Tbl[[#This Row],[BASE SALARY]:[COMMISSION]])</f>
        <v>90300</v>
      </c>
      <c r="N459" s="11">
        <v>10</v>
      </c>
      <c r="O459" s="11">
        <v>7</v>
      </c>
      <c r="P459" s="11">
        <v>4</v>
      </c>
    </row>
    <row r="460" spans="1:16" x14ac:dyDescent="0.25">
      <c r="A460" s="11" t="s">
        <v>713</v>
      </c>
      <c r="B460" s="11" t="s">
        <v>714</v>
      </c>
      <c r="C460" s="11" t="s">
        <v>715</v>
      </c>
      <c r="D460" s="11" t="str">
        <f>Employees_Tbl[[#This Row],[LAST]] &amp;"." &amp; Employees_Tbl[[#This Row],[FIRST]]</f>
        <v>Silva.Donald</v>
      </c>
      <c r="E460" s="11" t="s">
        <v>53</v>
      </c>
      <c r="F460" s="14">
        <v>43297</v>
      </c>
      <c r="G460" s="25">
        <f>YEAR(Employees_Tbl[[#This Row],[HIRE DATE]])</f>
        <v>2018</v>
      </c>
      <c r="H460" s="11" t="s">
        <v>705</v>
      </c>
      <c r="I460" s="11" t="s">
        <v>706</v>
      </c>
      <c r="J460" s="12">
        <v>70300</v>
      </c>
      <c r="K460" s="12">
        <v>2000</v>
      </c>
      <c r="L460" s="13">
        <v>0</v>
      </c>
      <c r="M460" s="13">
        <f>SUM(Employees_Tbl[[#This Row],[BASE SALARY]:[COMMISSION]])</f>
        <v>72300</v>
      </c>
      <c r="N460" s="11">
        <v>11</v>
      </c>
      <c r="O460" s="11">
        <v>7</v>
      </c>
      <c r="P460" s="11">
        <v>3</v>
      </c>
    </row>
    <row r="461" spans="1:16" x14ac:dyDescent="0.25">
      <c r="A461" s="11" t="s">
        <v>710</v>
      </c>
      <c r="B461" s="11" t="s">
        <v>711</v>
      </c>
      <c r="C461" s="11" t="s">
        <v>712</v>
      </c>
      <c r="D461" s="11" t="str">
        <f>Employees_Tbl[[#This Row],[LAST]] &amp;"." &amp; Employees_Tbl[[#This Row],[FIRST]]</f>
        <v>Fegley.Marcus</v>
      </c>
      <c r="E461" s="11" t="s">
        <v>53</v>
      </c>
      <c r="F461" s="14">
        <v>43414</v>
      </c>
      <c r="G461" s="25">
        <f>YEAR(Employees_Tbl[[#This Row],[HIRE DATE]])</f>
        <v>2018</v>
      </c>
      <c r="H461" s="11" t="s">
        <v>705</v>
      </c>
      <c r="I461" s="11" t="s">
        <v>706</v>
      </c>
      <c r="J461" s="12">
        <v>65600</v>
      </c>
      <c r="K461" s="12">
        <v>1500</v>
      </c>
      <c r="L461" s="13">
        <v>0</v>
      </c>
      <c r="M461" s="13">
        <f>SUM(Employees_Tbl[[#This Row],[BASE SALARY]:[COMMISSION]])</f>
        <v>67100</v>
      </c>
      <c r="N461" s="11">
        <v>11</v>
      </c>
      <c r="O461" s="11">
        <v>5</v>
      </c>
      <c r="P461" s="11">
        <v>4</v>
      </c>
    </row>
    <row r="462" spans="1:16" x14ac:dyDescent="0.25">
      <c r="A462" s="11" t="s">
        <v>909</v>
      </c>
      <c r="B462" s="11" t="s">
        <v>801</v>
      </c>
      <c r="C462" s="11" t="s">
        <v>1340</v>
      </c>
      <c r="D462" s="11" t="str">
        <f>Employees_Tbl[[#This Row],[LAST]] &amp;"." &amp; Employees_Tbl[[#This Row],[FIRST]]</f>
        <v>Headley.Jeremy</v>
      </c>
      <c r="E462" s="11" t="s">
        <v>53</v>
      </c>
      <c r="F462" s="14">
        <v>43503</v>
      </c>
      <c r="G462" s="25">
        <f>YEAR(Employees_Tbl[[#This Row],[HIRE DATE]])</f>
        <v>2019</v>
      </c>
      <c r="H462" s="11" t="s">
        <v>705</v>
      </c>
      <c r="I462" s="11" t="s">
        <v>706</v>
      </c>
      <c r="J462" s="13">
        <v>64700</v>
      </c>
      <c r="K462" s="12">
        <v>2000</v>
      </c>
      <c r="L462" s="13">
        <v>0</v>
      </c>
      <c r="M462" s="13">
        <f>SUM(Employees_Tbl[[#This Row],[BASE SALARY]:[COMMISSION]])</f>
        <v>66700</v>
      </c>
      <c r="N462" s="11">
        <v>12</v>
      </c>
      <c r="O462" s="11">
        <v>5</v>
      </c>
      <c r="P462" s="11">
        <v>4</v>
      </c>
    </row>
    <row r="463" spans="1:16" x14ac:dyDescent="0.25">
      <c r="A463" s="11" t="s">
        <v>907</v>
      </c>
      <c r="B463" s="11" t="s">
        <v>908</v>
      </c>
      <c r="C463" s="11" t="s">
        <v>824</v>
      </c>
      <c r="D463" s="11" t="str">
        <f>Employees_Tbl[[#This Row],[LAST]] &amp;"." &amp; Employees_Tbl[[#This Row],[FIRST]]</f>
        <v>Campbell.Riley</v>
      </c>
      <c r="E463" s="11" t="s">
        <v>53</v>
      </c>
      <c r="F463" s="14">
        <v>43764</v>
      </c>
      <c r="G463" s="25">
        <f>YEAR(Employees_Tbl[[#This Row],[HIRE DATE]])</f>
        <v>2019</v>
      </c>
      <c r="H463" s="11" t="s">
        <v>705</v>
      </c>
      <c r="I463" s="11" t="s">
        <v>706</v>
      </c>
      <c r="J463" s="12">
        <v>49200</v>
      </c>
      <c r="K463" s="12">
        <v>1500</v>
      </c>
      <c r="L463" s="13">
        <v>0</v>
      </c>
      <c r="M463" s="13">
        <f>SUM(Employees_Tbl[[#This Row],[BASE SALARY]:[COMMISSION]])</f>
        <v>50700</v>
      </c>
      <c r="N463" s="11">
        <v>10</v>
      </c>
      <c r="O463" s="11">
        <v>10</v>
      </c>
      <c r="P463" s="11">
        <v>5</v>
      </c>
    </row>
    <row r="464" spans="1:16" x14ac:dyDescent="0.25">
      <c r="A464" s="11" t="s">
        <v>707</v>
      </c>
      <c r="B464" s="11" t="s">
        <v>708</v>
      </c>
      <c r="C464" s="11" t="s">
        <v>709</v>
      </c>
      <c r="D464" s="11" t="str">
        <f>Employees_Tbl[[#This Row],[LAST]] &amp;"." &amp; Employees_Tbl[[#This Row],[FIRST]]</f>
        <v>Kennedy.Jesus</v>
      </c>
      <c r="E464" s="11" t="s">
        <v>53</v>
      </c>
      <c r="F464" s="14">
        <v>43306</v>
      </c>
      <c r="G464" s="25">
        <f>YEAR(Employees_Tbl[[#This Row],[HIRE DATE]])</f>
        <v>2018</v>
      </c>
      <c r="H464" s="11" t="s">
        <v>705</v>
      </c>
      <c r="I464" s="11" t="s">
        <v>706</v>
      </c>
      <c r="J464" s="12">
        <v>47400</v>
      </c>
      <c r="K464" s="12">
        <v>1000</v>
      </c>
      <c r="L464" s="13">
        <v>0</v>
      </c>
      <c r="M464" s="13">
        <f>SUM(Employees_Tbl[[#This Row],[BASE SALARY]:[COMMISSION]])</f>
        <v>48400</v>
      </c>
      <c r="N464" s="11">
        <v>17</v>
      </c>
      <c r="O464" s="11">
        <v>5</v>
      </c>
      <c r="P464" s="11">
        <v>4</v>
      </c>
    </row>
    <row r="465" spans="1:16" x14ac:dyDescent="0.25">
      <c r="A465" s="11" t="s">
        <v>704</v>
      </c>
      <c r="B465" s="11" t="s">
        <v>1049</v>
      </c>
      <c r="C465" s="11" t="s">
        <v>343</v>
      </c>
      <c r="D465" s="11" t="str">
        <f>Employees_Tbl[[#This Row],[LAST]] &amp;"." &amp; Employees_Tbl[[#This Row],[FIRST]]</f>
        <v>Baker.Samuel</v>
      </c>
      <c r="E465" s="11" t="s">
        <v>53</v>
      </c>
      <c r="F465" s="14">
        <v>43353</v>
      </c>
      <c r="G465" s="25">
        <f>YEAR(Employees_Tbl[[#This Row],[HIRE DATE]])</f>
        <v>2018</v>
      </c>
      <c r="H465" s="11" t="s">
        <v>705</v>
      </c>
      <c r="I465" s="11" t="s">
        <v>706</v>
      </c>
      <c r="J465" s="12">
        <v>33900</v>
      </c>
      <c r="K465" s="12">
        <v>500</v>
      </c>
      <c r="L465" s="13">
        <v>0</v>
      </c>
      <c r="M465" s="13">
        <f>SUM(Employees_Tbl[[#This Row],[BASE SALARY]:[COMMISSION]])</f>
        <v>34400</v>
      </c>
      <c r="N465" s="11">
        <v>12</v>
      </c>
      <c r="O465" s="11">
        <v>5</v>
      </c>
      <c r="P465" s="11">
        <v>4</v>
      </c>
    </row>
    <row r="466" spans="1:16" x14ac:dyDescent="0.25">
      <c r="A466" s="11" t="s">
        <v>1126</v>
      </c>
      <c r="B466" s="11" t="s">
        <v>1127</v>
      </c>
      <c r="C466" s="11" t="s">
        <v>74</v>
      </c>
      <c r="D466" s="11" t="str">
        <f>Employees_Tbl[[#This Row],[LAST]] &amp;"." &amp; Employees_Tbl[[#This Row],[FIRST]]</f>
        <v>Robinson.Irene</v>
      </c>
      <c r="E466" s="11" t="s">
        <v>53</v>
      </c>
      <c r="F466" s="14">
        <v>44124</v>
      </c>
      <c r="G466" s="25">
        <f>YEAR(Employees_Tbl[[#This Row],[HIRE DATE]])</f>
        <v>2020</v>
      </c>
      <c r="H466" s="11" t="s">
        <v>705</v>
      </c>
      <c r="I466" s="11" t="s">
        <v>706</v>
      </c>
      <c r="J466" s="12">
        <v>29200</v>
      </c>
      <c r="K466" s="12">
        <v>1000</v>
      </c>
      <c r="L466" s="13">
        <v>0</v>
      </c>
      <c r="M466" s="13">
        <f>SUM(Employees_Tbl[[#This Row],[BASE SALARY]:[COMMISSION]])</f>
        <v>30200</v>
      </c>
      <c r="N466" s="11">
        <v>14</v>
      </c>
      <c r="O466" s="11">
        <v>4</v>
      </c>
      <c r="P466" s="11">
        <v>5</v>
      </c>
    </row>
    <row r="467" spans="1:16" x14ac:dyDescent="0.25">
      <c r="A467" s="11" t="s">
        <v>912</v>
      </c>
      <c r="B467" s="11" t="s">
        <v>241</v>
      </c>
      <c r="C467" s="11" t="s">
        <v>913</v>
      </c>
      <c r="D467" s="11" t="str">
        <f>Employees_Tbl[[#This Row],[LAST]] &amp;"." &amp; Employees_Tbl[[#This Row],[FIRST]]</f>
        <v>Williamson.Brian</v>
      </c>
      <c r="E467" s="11" t="s">
        <v>16</v>
      </c>
      <c r="F467" s="14">
        <v>43646</v>
      </c>
      <c r="G467" s="25">
        <f>YEAR(Employees_Tbl[[#This Row],[HIRE DATE]])</f>
        <v>2019</v>
      </c>
      <c r="H467" s="11" t="s">
        <v>705</v>
      </c>
      <c r="I467" s="11" t="s">
        <v>706</v>
      </c>
      <c r="J467" s="12">
        <v>123100</v>
      </c>
      <c r="K467" s="12">
        <v>4000</v>
      </c>
      <c r="L467" s="13">
        <v>0</v>
      </c>
      <c r="M467" s="13">
        <f>SUM(Employees_Tbl[[#This Row],[BASE SALARY]:[COMMISSION]])</f>
        <v>127100</v>
      </c>
      <c r="N467" s="11">
        <v>15</v>
      </c>
      <c r="O467" s="11">
        <v>3</v>
      </c>
      <c r="P467" s="11">
        <v>3</v>
      </c>
    </row>
    <row r="468" spans="1:16" x14ac:dyDescent="0.25">
      <c r="A468" s="11" t="s">
        <v>1137</v>
      </c>
      <c r="B468" s="11" t="s">
        <v>556</v>
      </c>
      <c r="C468" s="11" t="s">
        <v>1138</v>
      </c>
      <c r="D468" s="11" t="str">
        <f>Employees_Tbl[[#This Row],[LAST]] &amp;"." &amp; Employees_Tbl[[#This Row],[FIRST]]</f>
        <v>Shay.Rebecca</v>
      </c>
      <c r="E468" s="11" t="s">
        <v>16</v>
      </c>
      <c r="F468" s="14">
        <v>44077</v>
      </c>
      <c r="G468" s="25">
        <f>YEAR(Employees_Tbl[[#This Row],[HIRE DATE]])</f>
        <v>2020</v>
      </c>
      <c r="H468" s="11" t="s">
        <v>705</v>
      </c>
      <c r="I468" s="11" t="s">
        <v>706</v>
      </c>
      <c r="J468" s="12">
        <v>112200</v>
      </c>
      <c r="K468" s="12">
        <v>3500</v>
      </c>
      <c r="L468" s="13">
        <v>0</v>
      </c>
      <c r="M468" s="13">
        <f>SUM(Employees_Tbl[[#This Row],[BASE SALARY]:[COMMISSION]])</f>
        <v>115700</v>
      </c>
      <c r="N468" s="11">
        <v>14</v>
      </c>
      <c r="O468" s="11">
        <v>7</v>
      </c>
      <c r="P468" s="11">
        <v>5</v>
      </c>
    </row>
    <row r="469" spans="1:16" x14ac:dyDescent="0.25">
      <c r="A469" s="11" t="s">
        <v>721</v>
      </c>
      <c r="B469" s="11" t="s">
        <v>722</v>
      </c>
      <c r="C469" s="11" t="s">
        <v>723</v>
      </c>
      <c r="D469" s="11" t="str">
        <f>Employees_Tbl[[#This Row],[LAST]] &amp;"." &amp; Employees_Tbl[[#This Row],[FIRST]]</f>
        <v>Yamada.Gladys</v>
      </c>
      <c r="E469" s="11" t="s">
        <v>16</v>
      </c>
      <c r="F469" s="14">
        <v>43335</v>
      </c>
      <c r="G469" s="25">
        <f>YEAR(Employees_Tbl[[#This Row],[HIRE DATE]])</f>
        <v>2018</v>
      </c>
      <c r="H469" s="11" t="s">
        <v>705</v>
      </c>
      <c r="I469" s="11" t="s">
        <v>706</v>
      </c>
      <c r="J469" s="12">
        <v>104200</v>
      </c>
      <c r="K469" s="12">
        <v>4000</v>
      </c>
      <c r="L469" s="13">
        <v>0</v>
      </c>
      <c r="M469" s="13">
        <f>SUM(Employees_Tbl[[#This Row],[BASE SALARY]:[COMMISSION]])</f>
        <v>108200</v>
      </c>
      <c r="N469" s="11">
        <v>14</v>
      </c>
      <c r="O469" s="11">
        <v>6</v>
      </c>
      <c r="P469" s="11">
        <v>3</v>
      </c>
    </row>
    <row r="470" spans="1:16" x14ac:dyDescent="0.25">
      <c r="A470" s="11" t="s">
        <v>1132</v>
      </c>
      <c r="B470" s="11" t="s">
        <v>1133</v>
      </c>
      <c r="C470" s="11" t="s">
        <v>1134</v>
      </c>
      <c r="D470" s="11" t="str">
        <f>Employees_Tbl[[#This Row],[LAST]] &amp;"." &amp; Employees_Tbl[[#This Row],[FIRST]]</f>
        <v>Wann.Saul</v>
      </c>
      <c r="E470" s="11" t="s">
        <v>16</v>
      </c>
      <c r="F470" s="14">
        <v>44131</v>
      </c>
      <c r="G470" s="25">
        <f>YEAR(Employees_Tbl[[#This Row],[HIRE DATE]])</f>
        <v>2020</v>
      </c>
      <c r="H470" s="11" t="s">
        <v>705</v>
      </c>
      <c r="I470" s="11" t="s">
        <v>706</v>
      </c>
      <c r="J470" s="12">
        <v>96300</v>
      </c>
      <c r="K470" s="12">
        <v>3000</v>
      </c>
      <c r="L470" s="13">
        <v>0</v>
      </c>
      <c r="M470" s="13">
        <f>SUM(Employees_Tbl[[#This Row],[BASE SALARY]:[COMMISSION]])</f>
        <v>99300</v>
      </c>
      <c r="N470" s="11">
        <v>15</v>
      </c>
      <c r="O470" s="11">
        <v>9</v>
      </c>
      <c r="P470" s="11">
        <v>5</v>
      </c>
    </row>
    <row r="471" spans="1:16" x14ac:dyDescent="0.25">
      <c r="A471" s="11" t="s">
        <v>1135</v>
      </c>
      <c r="B471" s="11" t="s">
        <v>1319</v>
      </c>
      <c r="C471" s="11" t="s">
        <v>1136</v>
      </c>
      <c r="D471" s="11" t="str">
        <f>Employees_Tbl[[#This Row],[LAST]] &amp;"." &amp; Employees_Tbl[[#This Row],[FIRST]]</f>
        <v>Santiago.Miguel</v>
      </c>
      <c r="E471" s="11" t="s">
        <v>16</v>
      </c>
      <c r="F471" s="14">
        <v>44089</v>
      </c>
      <c r="G471" s="25">
        <f>YEAR(Employees_Tbl[[#This Row],[HIRE DATE]])</f>
        <v>2020</v>
      </c>
      <c r="H471" s="11" t="s">
        <v>705</v>
      </c>
      <c r="I471" s="11" t="s">
        <v>706</v>
      </c>
      <c r="J471" s="12">
        <v>95900</v>
      </c>
      <c r="K471" s="12">
        <v>3000</v>
      </c>
      <c r="L471" s="13">
        <v>0</v>
      </c>
      <c r="M471" s="13">
        <f>SUM(Employees_Tbl[[#This Row],[BASE SALARY]:[COMMISSION]])</f>
        <v>98900</v>
      </c>
      <c r="N471" s="11">
        <v>10</v>
      </c>
      <c r="O471" s="11">
        <v>5</v>
      </c>
      <c r="P471" s="11">
        <v>4</v>
      </c>
    </row>
    <row r="472" spans="1:16" x14ac:dyDescent="0.25">
      <c r="A472" s="11" t="s">
        <v>719</v>
      </c>
      <c r="B472" s="11" t="s">
        <v>468</v>
      </c>
      <c r="C472" s="11" t="s">
        <v>720</v>
      </c>
      <c r="D472" s="11" t="str">
        <f>Employees_Tbl[[#This Row],[LAST]] &amp;"." &amp; Employees_Tbl[[#This Row],[FIRST]]</f>
        <v>Stamps.Mary</v>
      </c>
      <c r="E472" s="11" t="s">
        <v>16</v>
      </c>
      <c r="F472" s="14">
        <v>43234</v>
      </c>
      <c r="G472" s="25">
        <f>YEAR(Employees_Tbl[[#This Row],[HIRE DATE]])</f>
        <v>2018</v>
      </c>
      <c r="H472" s="11" t="s">
        <v>705</v>
      </c>
      <c r="I472" s="11" t="s">
        <v>706</v>
      </c>
      <c r="J472" s="12">
        <v>92500</v>
      </c>
      <c r="K472" s="12">
        <v>3000</v>
      </c>
      <c r="L472" s="13">
        <v>0</v>
      </c>
      <c r="M472" s="13">
        <f>SUM(Employees_Tbl[[#This Row],[BASE SALARY]:[COMMISSION]])</f>
        <v>95500</v>
      </c>
      <c r="N472" s="11">
        <v>18</v>
      </c>
      <c r="O472" s="11">
        <v>3</v>
      </c>
      <c r="P472" s="11">
        <v>5</v>
      </c>
    </row>
    <row r="473" spans="1:16" x14ac:dyDescent="0.25">
      <c r="A473" s="11" t="s">
        <v>1129</v>
      </c>
      <c r="B473" s="11" t="s">
        <v>1130</v>
      </c>
      <c r="C473" s="11" t="s">
        <v>1131</v>
      </c>
      <c r="D473" s="11" t="str">
        <f>Employees_Tbl[[#This Row],[LAST]] &amp;"." &amp; Employees_Tbl[[#This Row],[FIRST]]</f>
        <v>Jagger.Jeff</v>
      </c>
      <c r="E473" s="11" t="s">
        <v>16</v>
      </c>
      <c r="F473" s="14">
        <v>43933</v>
      </c>
      <c r="G473" s="25">
        <f>YEAR(Employees_Tbl[[#This Row],[HIRE DATE]])</f>
        <v>2020</v>
      </c>
      <c r="H473" s="11" t="s">
        <v>705</v>
      </c>
      <c r="I473" s="11" t="s">
        <v>706</v>
      </c>
      <c r="J473" s="12">
        <v>79700</v>
      </c>
      <c r="K473" s="12">
        <v>2000</v>
      </c>
      <c r="L473" s="13">
        <v>0</v>
      </c>
      <c r="M473" s="13">
        <f>SUM(Employees_Tbl[[#This Row],[BASE SALARY]:[COMMISSION]])</f>
        <v>81700</v>
      </c>
      <c r="N473" s="11">
        <v>15</v>
      </c>
      <c r="O473" s="11">
        <v>5</v>
      </c>
      <c r="P473" s="11">
        <v>3</v>
      </c>
    </row>
    <row r="474" spans="1:16" x14ac:dyDescent="0.25">
      <c r="A474" s="11" t="s">
        <v>910</v>
      </c>
      <c r="B474" s="11" t="s">
        <v>106</v>
      </c>
      <c r="C474" s="11" t="s">
        <v>911</v>
      </c>
      <c r="D474" s="11" t="str">
        <f>Employees_Tbl[[#This Row],[LAST]] &amp;"." &amp; Employees_Tbl[[#This Row],[FIRST]]</f>
        <v>Dade.Dorothy</v>
      </c>
      <c r="E474" s="11" t="s">
        <v>16</v>
      </c>
      <c r="F474" s="14">
        <v>43639</v>
      </c>
      <c r="G474" s="25">
        <f>YEAR(Employees_Tbl[[#This Row],[HIRE DATE]])</f>
        <v>2019</v>
      </c>
      <c r="H474" s="11" t="s">
        <v>705</v>
      </c>
      <c r="I474" s="11" t="s">
        <v>706</v>
      </c>
      <c r="J474" s="12">
        <v>78100</v>
      </c>
      <c r="K474" s="12">
        <v>2500</v>
      </c>
      <c r="L474" s="13">
        <v>0</v>
      </c>
      <c r="M474" s="13">
        <f>SUM(Employees_Tbl[[#This Row],[BASE SALARY]:[COMMISSION]])</f>
        <v>80600</v>
      </c>
      <c r="N474" s="11">
        <v>10</v>
      </c>
      <c r="O474" s="11">
        <v>8</v>
      </c>
      <c r="P474" s="11">
        <v>3</v>
      </c>
    </row>
    <row r="475" spans="1:16" x14ac:dyDescent="0.25">
      <c r="A475" s="11" t="s">
        <v>718</v>
      </c>
      <c r="B475" s="11" t="s">
        <v>687</v>
      </c>
      <c r="C475" s="11" t="s">
        <v>103</v>
      </c>
      <c r="D475" s="11" t="str">
        <f>Employees_Tbl[[#This Row],[LAST]] &amp;"." &amp; Employees_Tbl[[#This Row],[FIRST]]</f>
        <v>Thomas.Jennifer</v>
      </c>
      <c r="E475" s="11" t="s">
        <v>16</v>
      </c>
      <c r="F475" s="14">
        <v>43266</v>
      </c>
      <c r="G475" s="25">
        <f>YEAR(Employees_Tbl[[#This Row],[HIRE DATE]])</f>
        <v>2018</v>
      </c>
      <c r="H475" s="11" t="s">
        <v>705</v>
      </c>
      <c r="I475" s="11" t="s">
        <v>706</v>
      </c>
      <c r="J475" s="12">
        <v>67900</v>
      </c>
      <c r="K475" s="12">
        <v>2500</v>
      </c>
      <c r="L475" s="13">
        <v>0</v>
      </c>
      <c r="M475" s="13">
        <f>SUM(Employees_Tbl[[#This Row],[BASE SALARY]:[COMMISSION]])</f>
        <v>70400</v>
      </c>
      <c r="N475" s="11">
        <v>17</v>
      </c>
      <c r="O475" s="11">
        <v>7</v>
      </c>
      <c r="P475" s="11">
        <v>4</v>
      </c>
    </row>
    <row r="476" spans="1:16" x14ac:dyDescent="0.25">
      <c r="A476" s="11" t="s">
        <v>1128</v>
      </c>
      <c r="B476" s="11" t="s">
        <v>1354</v>
      </c>
      <c r="C476" s="11" t="s">
        <v>1355</v>
      </c>
      <c r="D476" s="11" t="str">
        <f>Employees_Tbl[[#This Row],[LAST]] &amp;"." &amp; Employees_Tbl[[#This Row],[FIRST]]</f>
        <v>Yawn.Anastasia</v>
      </c>
      <c r="E476" s="11" t="s">
        <v>16</v>
      </c>
      <c r="F476" s="14">
        <v>43884</v>
      </c>
      <c r="G476" s="25">
        <f>YEAR(Employees_Tbl[[#This Row],[HIRE DATE]])</f>
        <v>2020</v>
      </c>
      <c r="H476" s="11" t="s">
        <v>705</v>
      </c>
      <c r="I476" s="11" t="s">
        <v>706</v>
      </c>
      <c r="J476" s="13">
        <v>39000</v>
      </c>
      <c r="K476" s="12">
        <v>1000</v>
      </c>
      <c r="L476" s="13">
        <v>0</v>
      </c>
      <c r="M476" s="13">
        <f>SUM(Employees_Tbl[[#This Row],[BASE SALARY]:[COMMISSION]])</f>
        <v>40000</v>
      </c>
      <c r="N476" s="11">
        <v>15</v>
      </c>
      <c r="O476" s="11">
        <v>6</v>
      </c>
      <c r="P476" s="11">
        <v>4</v>
      </c>
    </row>
    <row r="477" spans="1:16" x14ac:dyDescent="0.25">
      <c r="A477" s="11" t="s">
        <v>726</v>
      </c>
      <c r="B477" s="11" t="s">
        <v>727</v>
      </c>
      <c r="C477" s="11" t="s">
        <v>728</v>
      </c>
      <c r="D477" s="11" t="str">
        <f>Employees_Tbl[[#This Row],[LAST]] &amp;"." &amp; Employees_Tbl[[#This Row],[FIRST]]</f>
        <v>Partin.Judy</v>
      </c>
      <c r="E477" s="11" t="s">
        <v>22</v>
      </c>
      <c r="F477" s="14">
        <v>43308</v>
      </c>
      <c r="G477" s="25">
        <f>YEAR(Employees_Tbl[[#This Row],[HIRE DATE]])</f>
        <v>2018</v>
      </c>
      <c r="H477" s="11" t="s">
        <v>705</v>
      </c>
      <c r="I477" s="11" t="s">
        <v>706</v>
      </c>
      <c r="J477" s="12">
        <v>45800</v>
      </c>
      <c r="K477" s="12">
        <v>1500</v>
      </c>
      <c r="L477" s="13">
        <v>0</v>
      </c>
      <c r="M477" s="13">
        <f>SUM(Employees_Tbl[[#This Row],[BASE SALARY]:[COMMISSION]])</f>
        <v>47300</v>
      </c>
      <c r="N477" s="11">
        <v>11</v>
      </c>
      <c r="O477" s="11">
        <v>13</v>
      </c>
      <c r="P477" s="11">
        <v>5</v>
      </c>
    </row>
    <row r="478" spans="1:16" x14ac:dyDescent="0.25">
      <c r="A478" s="11" t="s">
        <v>918</v>
      </c>
      <c r="B478" s="11" t="s">
        <v>268</v>
      </c>
      <c r="C478" s="11" t="s">
        <v>919</v>
      </c>
      <c r="D478" s="11" t="str">
        <f>Employees_Tbl[[#This Row],[LAST]] &amp;"." &amp; Employees_Tbl[[#This Row],[FIRST]]</f>
        <v>Mcdaniels.David</v>
      </c>
      <c r="E478" s="11" t="s">
        <v>22</v>
      </c>
      <c r="F478" s="14">
        <v>43501</v>
      </c>
      <c r="G478" s="25">
        <f>YEAR(Employees_Tbl[[#This Row],[HIRE DATE]])</f>
        <v>2019</v>
      </c>
      <c r="H478" s="11" t="s">
        <v>705</v>
      </c>
      <c r="I478" s="11" t="s">
        <v>706</v>
      </c>
      <c r="J478" s="12">
        <v>42200</v>
      </c>
      <c r="K478" s="12">
        <v>1000</v>
      </c>
      <c r="L478" s="13">
        <v>0</v>
      </c>
      <c r="M478" s="13">
        <f>SUM(Employees_Tbl[[#This Row],[BASE SALARY]:[COMMISSION]])</f>
        <v>43200</v>
      </c>
      <c r="N478" s="11">
        <v>16</v>
      </c>
      <c r="O478" s="11">
        <v>4</v>
      </c>
      <c r="P478" s="11">
        <v>4</v>
      </c>
    </row>
    <row r="479" spans="1:16" x14ac:dyDescent="0.25">
      <c r="A479" s="11" t="s">
        <v>724</v>
      </c>
      <c r="B479" s="11" t="s">
        <v>128</v>
      </c>
      <c r="C479" s="11" t="s">
        <v>725</v>
      </c>
      <c r="D479" s="11" t="str">
        <f>Employees_Tbl[[#This Row],[LAST]] &amp;"." &amp; Employees_Tbl[[#This Row],[FIRST]]</f>
        <v>Harrell.Louise</v>
      </c>
      <c r="E479" s="11" t="s">
        <v>22</v>
      </c>
      <c r="F479" s="14">
        <v>43140</v>
      </c>
      <c r="G479" s="25">
        <f>YEAR(Employees_Tbl[[#This Row],[HIRE DATE]])</f>
        <v>2018</v>
      </c>
      <c r="H479" s="11" t="s">
        <v>705</v>
      </c>
      <c r="I479" s="11" t="s">
        <v>706</v>
      </c>
      <c r="J479" s="12">
        <v>37200</v>
      </c>
      <c r="K479" s="12">
        <v>1000</v>
      </c>
      <c r="L479" s="13">
        <v>0</v>
      </c>
      <c r="M479" s="13">
        <f>SUM(Employees_Tbl[[#This Row],[BASE SALARY]:[COMMISSION]])</f>
        <v>38200</v>
      </c>
      <c r="N479" s="11">
        <v>15</v>
      </c>
      <c r="O479" s="11">
        <v>6</v>
      </c>
      <c r="P479" s="11">
        <v>3</v>
      </c>
    </row>
    <row r="480" spans="1:16" x14ac:dyDescent="0.25">
      <c r="A480" s="11" t="s">
        <v>916</v>
      </c>
      <c r="B480" s="11" t="s">
        <v>557</v>
      </c>
      <c r="C480" s="11" t="s">
        <v>917</v>
      </c>
      <c r="D480" s="11" t="str">
        <f>Employees_Tbl[[#This Row],[LAST]] &amp;"." &amp; Employees_Tbl[[#This Row],[FIRST]]</f>
        <v>Downing.Leo</v>
      </c>
      <c r="E480" s="11" t="s">
        <v>22</v>
      </c>
      <c r="F480" s="14">
        <v>43485</v>
      </c>
      <c r="G480" s="25">
        <f>YEAR(Employees_Tbl[[#This Row],[HIRE DATE]])</f>
        <v>2019</v>
      </c>
      <c r="H480" s="11" t="s">
        <v>705</v>
      </c>
      <c r="I480" s="11" t="s">
        <v>706</v>
      </c>
      <c r="J480" s="12">
        <v>35800</v>
      </c>
      <c r="K480" s="12">
        <v>1000</v>
      </c>
      <c r="L480" s="13">
        <v>0</v>
      </c>
      <c r="M480" s="13">
        <f>SUM(Employees_Tbl[[#This Row],[BASE SALARY]:[COMMISSION]])</f>
        <v>36800</v>
      </c>
      <c r="N480" s="11">
        <v>17</v>
      </c>
      <c r="O480" s="11">
        <v>7</v>
      </c>
      <c r="P480" s="11">
        <v>4</v>
      </c>
    </row>
    <row r="481" spans="1:16" x14ac:dyDescent="0.25">
      <c r="A481" s="11" t="s">
        <v>914</v>
      </c>
      <c r="B481" s="11" t="s">
        <v>223</v>
      </c>
      <c r="C481" s="11" t="s">
        <v>915</v>
      </c>
      <c r="D481" s="11" t="str">
        <f>Employees_Tbl[[#This Row],[LAST]] &amp;"." &amp; Employees_Tbl[[#This Row],[FIRST]]</f>
        <v>Callahan.Michael</v>
      </c>
      <c r="E481" s="11" t="s">
        <v>22</v>
      </c>
      <c r="F481" s="14">
        <v>43511</v>
      </c>
      <c r="G481" s="25">
        <f>YEAR(Employees_Tbl[[#This Row],[HIRE DATE]])</f>
        <v>2019</v>
      </c>
      <c r="H481" s="11" t="s">
        <v>705</v>
      </c>
      <c r="I481" s="11" t="s">
        <v>706</v>
      </c>
      <c r="J481" s="12">
        <v>29500</v>
      </c>
      <c r="K481" s="12">
        <v>1000</v>
      </c>
      <c r="L481" s="13">
        <v>0</v>
      </c>
      <c r="M481" s="13">
        <f>SUM(Employees_Tbl[[#This Row],[BASE SALARY]:[COMMISSION]])</f>
        <v>30500</v>
      </c>
      <c r="N481" s="11">
        <v>11</v>
      </c>
      <c r="O481" s="11">
        <v>6</v>
      </c>
      <c r="P481" s="11">
        <v>4</v>
      </c>
    </row>
    <row r="482" spans="1:16" x14ac:dyDescent="0.25">
      <c r="A482" s="11" t="s">
        <v>734</v>
      </c>
      <c r="B482" s="11" t="s">
        <v>735</v>
      </c>
      <c r="C482" s="11" t="s">
        <v>363</v>
      </c>
      <c r="D482" s="11" t="str">
        <f>Employees_Tbl[[#This Row],[LAST]] &amp;"." &amp; Employees_Tbl[[#This Row],[FIRST]]</f>
        <v>Albert.Rose</v>
      </c>
      <c r="E482" s="11" t="s">
        <v>26</v>
      </c>
      <c r="F482" s="14">
        <v>43333</v>
      </c>
      <c r="G482" s="25">
        <f>YEAR(Employees_Tbl[[#This Row],[HIRE DATE]])</f>
        <v>2018</v>
      </c>
      <c r="H482" s="11" t="s">
        <v>705</v>
      </c>
      <c r="I482" s="11" t="s">
        <v>706</v>
      </c>
      <c r="J482" s="12">
        <v>67300</v>
      </c>
      <c r="K482" s="12">
        <v>2000</v>
      </c>
      <c r="L482" s="13">
        <v>0</v>
      </c>
      <c r="M482" s="13">
        <f>SUM(Employees_Tbl[[#This Row],[BASE SALARY]:[COMMISSION]])</f>
        <v>69300</v>
      </c>
      <c r="N482" s="11">
        <v>16</v>
      </c>
      <c r="O482" s="11">
        <v>3</v>
      </c>
      <c r="P482" s="11">
        <v>5</v>
      </c>
    </row>
    <row r="483" spans="1:16" x14ac:dyDescent="0.25">
      <c r="A483" s="11" t="s">
        <v>733</v>
      </c>
      <c r="B483" s="11" t="s">
        <v>620</v>
      </c>
      <c r="C483" s="11" t="s">
        <v>1337</v>
      </c>
      <c r="D483" s="11" t="str">
        <f>Employees_Tbl[[#This Row],[LAST]] &amp;"." &amp; Employees_Tbl[[#This Row],[FIRST]]</f>
        <v>Heilman.Benjamin</v>
      </c>
      <c r="E483" s="11" t="s">
        <v>26</v>
      </c>
      <c r="F483" s="14">
        <v>43295</v>
      </c>
      <c r="G483" s="25">
        <f>YEAR(Employees_Tbl[[#This Row],[HIRE DATE]])</f>
        <v>2018</v>
      </c>
      <c r="H483" s="11" t="s">
        <v>705</v>
      </c>
      <c r="I483" s="11" t="s">
        <v>706</v>
      </c>
      <c r="J483" s="13">
        <v>63900</v>
      </c>
      <c r="K483" s="12">
        <v>2000</v>
      </c>
      <c r="L483" s="13">
        <v>0</v>
      </c>
      <c r="M483" s="13">
        <f>SUM(Employees_Tbl[[#This Row],[BASE SALARY]:[COMMISSION]])</f>
        <v>65900</v>
      </c>
      <c r="N483" s="11">
        <v>11</v>
      </c>
      <c r="O483" s="11">
        <v>6</v>
      </c>
      <c r="P483" s="11">
        <v>4</v>
      </c>
    </row>
    <row r="484" spans="1:16" x14ac:dyDescent="0.25">
      <c r="A484" s="11" t="s">
        <v>732</v>
      </c>
      <c r="B484" s="11" t="s">
        <v>106</v>
      </c>
      <c r="C484" s="11" t="s">
        <v>107</v>
      </c>
      <c r="D484" s="11" t="str">
        <f>Employees_Tbl[[#This Row],[LAST]] &amp;"." &amp; Employees_Tbl[[#This Row],[FIRST]]</f>
        <v>Lafayette.Dorothy</v>
      </c>
      <c r="E484" s="11" t="s">
        <v>26</v>
      </c>
      <c r="F484" s="14">
        <v>43214</v>
      </c>
      <c r="G484" s="25">
        <f>YEAR(Employees_Tbl[[#This Row],[HIRE DATE]])</f>
        <v>2018</v>
      </c>
      <c r="H484" s="11" t="s">
        <v>705</v>
      </c>
      <c r="I484" s="11" t="s">
        <v>706</v>
      </c>
      <c r="J484" s="13">
        <v>58700</v>
      </c>
      <c r="K484" s="12">
        <v>2000</v>
      </c>
      <c r="L484" s="13">
        <v>0</v>
      </c>
      <c r="M484" s="13">
        <f>SUM(Employees_Tbl[[#This Row],[BASE SALARY]:[COMMISSION]])</f>
        <v>60700</v>
      </c>
      <c r="N484" s="11">
        <v>14</v>
      </c>
      <c r="O484" s="11">
        <v>4</v>
      </c>
      <c r="P484" s="11">
        <v>3</v>
      </c>
    </row>
    <row r="485" spans="1:16" x14ac:dyDescent="0.25">
      <c r="A485" s="11" t="s">
        <v>729</v>
      </c>
      <c r="B485" s="11" t="s">
        <v>730</v>
      </c>
      <c r="C485" s="11" t="s">
        <v>731</v>
      </c>
      <c r="D485" s="11" t="str">
        <f>Employees_Tbl[[#This Row],[LAST]] &amp;"." &amp; Employees_Tbl[[#This Row],[FIRST]]</f>
        <v>Lopez.Juanita</v>
      </c>
      <c r="E485" s="11" t="s">
        <v>26</v>
      </c>
      <c r="F485" s="14">
        <v>43389</v>
      </c>
      <c r="G485" s="25">
        <f>YEAR(Employees_Tbl[[#This Row],[HIRE DATE]])</f>
        <v>2018</v>
      </c>
      <c r="H485" s="11" t="s">
        <v>705</v>
      </c>
      <c r="I485" s="11" t="s">
        <v>706</v>
      </c>
      <c r="J485" s="12">
        <v>50600</v>
      </c>
      <c r="K485" s="12">
        <v>1500</v>
      </c>
      <c r="L485" s="13">
        <v>0</v>
      </c>
      <c r="M485" s="13">
        <f>SUM(Employees_Tbl[[#This Row],[BASE SALARY]:[COMMISSION]])</f>
        <v>52100</v>
      </c>
      <c r="N485" s="11">
        <v>15</v>
      </c>
      <c r="O485" s="11">
        <v>6</v>
      </c>
      <c r="P485" s="11">
        <v>3</v>
      </c>
    </row>
    <row r="486" spans="1:16" x14ac:dyDescent="0.25">
      <c r="A486" s="11" t="s">
        <v>738</v>
      </c>
      <c r="B486" s="11" t="s">
        <v>739</v>
      </c>
      <c r="C486" s="11" t="s">
        <v>740</v>
      </c>
      <c r="D486" s="11" t="str">
        <f>Employees_Tbl[[#This Row],[LAST]] &amp;"." &amp; Employees_Tbl[[#This Row],[FIRST]]</f>
        <v>Sewell.Laurie</v>
      </c>
      <c r="E486" s="11" t="s">
        <v>33</v>
      </c>
      <c r="F486" s="14">
        <v>43156</v>
      </c>
      <c r="G486" s="25">
        <f>YEAR(Employees_Tbl[[#This Row],[HIRE DATE]])</f>
        <v>2018</v>
      </c>
      <c r="H486" s="11" t="s">
        <v>705</v>
      </c>
      <c r="I486" s="11" t="s">
        <v>706</v>
      </c>
      <c r="J486" s="12">
        <v>111600</v>
      </c>
      <c r="K486" s="12">
        <v>4000</v>
      </c>
      <c r="L486" s="13">
        <v>0</v>
      </c>
      <c r="M486" s="13">
        <f>SUM(Employees_Tbl[[#This Row],[BASE SALARY]:[COMMISSION]])</f>
        <v>115600</v>
      </c>
      <c r="N486" s="11">
        <v>11</v>
      </c>
      <c r="O486" s="11">
        <v>4</v>
      </c>
      <c r="P486" s="11">
        <v>5</v>
      </c>
    </row>
    <row r="487" spans="1:16" x14ac:dyDescent="0.25">
      <c r="A487" s="11" t="s">
        <v>736</v>
      </c>
      <c r="B487" s="11" t="s">
        <v>495</v>
      </c>
      <c r="C487" s="11" t="s">
        <v>737</v>
      </c>
      <c r="D487" s="11" t="str">
        <f>Employees_Tbl[[#This Row],[LAST]] &amp;"." &amp; Employees_Tbl[[#This Row],[FIRST]]</f>
        <v>Wilson.Max</v>
      </c>
      <c r="E487" s="11" t="s">
        <v>33</v>
      </c>
      <c r="F487" s="14">
        <v>43147</v>
      </c>
      <c r="G487" s="25">
        <f>YEAR(Employees_Tbl[[#This Row],[HIRE DATE]])</f>
        <v>2018</v>
      </c>
      <c r="H487" s="11" t="s">
        <v>705</v>
      </c>
      <c r="I487" s="11" t="s">
        <v>706</v>
      </c>
      <c r="J487" s="12">
        <v>85500</v>
      </c>
      <c r="K487" s="12">
        <v>2500</v>
      </c>
      <c r="L487" s="13">
        <v>0</v>
      </c>
      <c r="M487" s="13">
        <f>SUM(Employees_Tbl[[#This Row],[BASE SALARY]:[COMMISSION]])</f>
        <v>88000</v>
      </c>
      <c r="N487" s="11">
        <v>18</v>
      </c>
      <c r="O487" s="11">
        <v>4</v>
      </c>
      <c r="P487" s="11">
        <v>4</v>
      </c>
    </row>
    <row r="488" spans="1:16" x14ac:dyDescent="0.25">
      <c r="A488" s="11" t="s">
        <v>1148</v>
      </c>
      <c r="B488" s="11" t="s">
        <v>1088</v>
      </c>
      <c r="C488" s="11" t="s">
        <v>1149</v>
      </c>
      <c r="D488" s="11" t="str">
        <f>Employees_Tbl[[#This Row],[LAST]] &amp;"." &amp; Employees_Tbl[[#This Row],[FIRST]]</f>
        <v>Bello.Josie</v>
      </c>
      <c r="E488" s="11" t="s">
        <v>37</v>
      </c>
      <c r="F488" s="14">
        <v>43880</v>
      </c>
      <c r="G488" s="25">
        <f>YEAR(Employees_Tbl[[#This Row],[HIRE DATE]])</f>
        <v>2020</v>
      </c>
      <c r="H488" s="11" t="s">
        <v>705</v>
      </c>
      <c r="I488" s="11" t="s">
        <v>706</v>
      </c>
      <c r="J488" s="12">
        <v>107100</v>
      </c>
      <c r="K488" s="12">
        <v>4000</v>
      </c>
      <c r="L488" s="13">
        <v>0</v>
      </c>
      <c r="M488" s="13">
        <f>SUM(Employees_Tbl[[#This Row],[BASE SALARY]:[COMMISSION]])</f>
        <v>111100</v>
      </c>
      <c r="N488" s="11">
        <v>13</v>
      </c>
      <c r="O488" s="11">
        <v>8</v>
      </c>
      <c r="P488" s="11">
        <v>3</v>
      </c>
    </row>
    <row r="489" spans="1:16" x14ac:dyDescent="0.25">
      <c r="A489" s="11" t="s">
        <v>927</v>
      </c>
      <c r="B489" s="11" t="s">
        <v>1356</v>
      </c>
      <c r="C489" s="11" t="s">
        <v>1357</v>
      </c>
      <c r="D489" s="11" t="str">
        <f>Employees_Tbl[[#This Row],[LAST]] &amp;"." &amp; Employees_Tbl[[#This Row],[FIRST]]</f>
        <v>Lloyd.Linda</v>
      </c>
      <c r="E489" s="11" t="s">
        <v>37</v>
      </c>
      <c r="F489" s="14">
        <v>43700</v>
      </c>
      <c r="G489" s="25">
        <f>YEAR(Employees_Tbl[[#This Row],[HIRE DATE]])</f>
        <v>2019</v>
      </c>
      <c r="H489" s="11" t="s">
        <v>705</v>
      </c>
      <c r="I489" s="11" t="s">
        <v>706</v>
      </c>
      <c r="J489" s="13">
        <v>104000</v>
      </c>
      <c r="K489" s="12">
        <v>3000</v>
      </c>
      <c r="L489" s="13">
        <v>0</v>
      </c>
      <c r="M489" s="13">
        <f>SUM(Employees_Tbl[[#This Row],[BASE SALARY]:[COMMISSION]])</f>
        <v>107000</v>
      </c>
      <c r="N489" s="11">
        <v>14</v>
      </c>
      <c r="O489" s="11">
        <v>6</v>
      </c>
      <c r="P489" s="11">
        <v>4</v>
      </c>
    </row>
    <row r="490" spans="1:16" x14ac:dyDescent="0.25">
      <c r="A490" s="11" t="s">
        <v>742</v>
      </c>
      <c r="B490" s="11" t="s">
        <v>547</v>
      </c>
      <c r="C490" s="11" t="s">
        <v>743</v>
      </c>
      <c r="D490" s="11" t="str">
        <f>Employees_Tbl[[#This Row],[LAST]] &amp;"." &amp; Employees_Tbl[[#This Row],[FIRST]]</f>
        <v>Elkins.Frank</v>
      </c>
      <c r="E490" s="11" t="s">
        <v>37</v>
      </c>
      <c r="F490" s="14">
        <v>43104</v>
      </c>
      <c r="G490" s="25">
        <f>YEAR(Employees_Tbl[[#This Row],[HIRE DATE]])</f>
        <v>2018</v>
      </c>
      <c r="H490" s="11" t="s">
        <v>705</v>
      </c>
      <c r="I490" s="11" t="s">
        <v>706</v>
      </c>
      <c r="J490" s="12">
        <v>103800</v>
      </c>
      <c r="K490" s="12">
        <v>3500</v>
      </c>
      <c r="L490" s="13">
        <v>0</v>
      </c>
      <c r="M490" s="13">
        <f>SUM(Employees_Tbl[[#This Row],[BASE SALARY]:[COMMISSION]])</f>
        <v>107300</v>
      </c>
      <c r="N490" s="11">
        <v>18</v>
      </c>
      <c r="O490" s="11">
        <v>7</v>
      </c>
      <c r="P490" s="11">
        <v>4</v>
      </c>
    </row>
    <row r="491" spans="1:16" x14ac:dyDescent="0.25">
      <c r="A491" s="11" t="s">
        <v>741</v>
      </c>
      <c r="B491" s="11" t="s">
        <v>687</v>
      </c>
      <c r="C491" s="11" t="s">
        <v>327</v>
      </c>
      <c r="D491" s="11" t="str">
        <f>Employees_Tbl[[#This Row],[LAST]] &amp;"." &amp; Employees_Tbl[[#This Row],[FIRST]]</f>
        <v>Rodriguez.Jennifer</v>
      </c>
      <c r="E491" s="11" t="s">
        <v>37</v>
      </c>
      <c r="F491" s="14">
        <v>43158</v>
      </c>
      <c r="G491" s="25">
        <f>YEAR(Employees_Tbl[[#This Row],[HIRE DATE]])</f>
        <v>2018</v>
      </c>
      <c r="H491" s="11" t="s">
        <v>705</v>
      </c>
      <c r="I491" s="11" t="s">
        <v>706</v>
      </c>
      <c r="J491" s="12">
        <v>98600</v>
      </c>
      <c r="K491" s="12">
        <v>4000</v>
      </c>
      <c r="L491" s="13">
        <v>0</v>
      </c>
      <c r="M491" s="13">
        <f>SUM(Employees_Tbl[[#This Row],[BASE SALARY]:[COMMISSION]])</f>
        <v>102600</v>
      </c>
      <c r="N491" s="11">
        <v>16</v>
      </c>
      <c r="O491" s="11">
        <v>14</v>
      </c>
      <c r="P491" s="11">
        <v>4</v>
      </c>
    </row>
    <row r="492" spans="1:16" x14ac:dyDescent="0.25">
      <c r="A492" s="11" t="s">
        <v>1147</v>
      </c>
      <c r="B492" s="11" t="s">
        <v>31</v>
      </c>
      <c r="C492" s="11" t="s">
        <v>1346</v>
      </c>
      <c r="D492" s="11" t="str">
        <f>Employees_Tbl[[#This Row],[LAST]] &amp;"." &amp; Employees_Tbl[[#This Row],[FIRST]]</f>
        <v>Rood.Kelly</v>
      </c>
      <c r="E492" s="11" t="s">
        <v>37</v>
      </c>
      <c r="F492" s="14">
        <v>43987</v>
      </c>
      <c r="G492" s="25">
        <f>YEAR(Employees_Tbl[[#This Row],[HIRE DATE]])</f>
        <v>2020</v>
      </c>
      <c r="H492" s="11" t="s">
        <v>705</v>
      </c>
      <c r="I492" s="11" t="s">
        <v>706</v>
      </c>
      <c r="J492" s="13">
        <v>95800</v>
      </c>
      <c r="K492" s="12">
        <v>3500</v>
      </c>
      <c r="L492" s="13">
        <v>0</v>
      </c>
      <c r="M492" s="13">
        <f>SUM(Employees_Tbl[[#This Row],[BASE SALARY]:[COMMISSION]])</f>
        <v>99300</v>
      </c>
      <c r="N492" s="11">
        <v>11</v>
      </c>
      <c r="O492" s="11">
        <v>7</v>
      </c>
      <c r="P492" s="11">
        <v>4</v>
      </c>
    </row>
    <row r="493" spans="1:16" x14ac:dyDescent="0.25">
      <c r="A493" s="11" t="s">
        <v>925</v>
      </c>
      <c r="B493" s="11" t="s">
        <v>161</v>
      </c>
      <c r="C493" s="11" t="s">
        <v>926</v>
      </c>
      <c r="D493" s="11" t="str">
        <f>Employees_Tbl[[#This Row],[LAST]] &amp;"." &amp; Employees_Tbl[[#This Row],[FIRST]]</f>
        <v>Warf.Melissa</v>
      </c>
      <c r="E493" s="11" t="s">
        <v>37</v>
      </c>
      <c r="F493" s="14">
        <v>43572</v>
      </c>
      <c r="G493" s="25">
        <f>YEAR(Employees_Tbl[[#This Row],[HIRE DATE]])</f>
        <v>2019</v>
      </c>
      <c r="H493" s="11" t="s">
        <v>705</v>
      </c>
      <c r="I493" s="11" t="s">
        <v>706</v>
      </c>
      <c r="J493" s="12">
        <v>83700</v>
      </c>
      <c r="K493" s="12">
        <v>2000</v>
      </c>
      <c r="L493" s="13">
        <v>0</v>
      </c>
      <c r="M493" s="13">
        <f>SUM(Employees_Tbl[[#This Row],[BASE SALARY]:[COMMISSION]])</f>
        <v>85700</v>
      </c>
      <c r="N493" s="11">
        <v>14</v>
      </c>
      <c r="O493" s="11">
        <v>5</v>
      </c>
      <c r="P493" s="11">
        <v>4</v>
      </c>
    </row>
    <row r="494" spans="1:16" x14ac:dyDescent="0.25">
      <c r="A494" s="11" t="s">
        <v>1144</v>
      </c>
      <c r="B494" s="11" t="s">
        <v>1145</v>
      </c>
      <c r="C494" s="11" t="s">
        <v>1146</v>
      </c>
      <c r="D494" s="11" t="str">
        <f>Employees_Tbl[[#This Row],[LAST]] &amp;"." &amp; Employees_Tbl[[#This Row],[FIRST]]</f>
        <v>Duran.Drew</v>
      </c>
      <c r="E494" s="11" t="s">
        <v>37</v>
      </c>
      <c r="F494" s="14">
        <v>43865</v>
      </c>
      <c r="G494" s="25">
        <f>YEAR(Employees_Tbl[[#This Row],[HIRE DATE]])</f>
        <v>2020</v>
      </c>
      <c r="H494" s="11" t="s">
        <v>705</v>
      </c>
      <c r="I494" s="11" t="s">
        <v>706</v>
      </c>
      <c r="J494" s="12">
        <v>69400</v>
      </c>
      <c r="K494" s="12">
        <v>2000</v>
      </c>
      <c r="L494" s="13">
        <v>0</v>
      </c>
      <c r="M494" s="13">
        <f>SUM(Employees_Tbl[[#This Row],[BASE SALARY]:[COMMISSION]])</f>
        <v>71400</v>
      </c>
      <c r="N494" s="11">
        <v>10</v>
      </c>
      <c r="O494" s="11">
        <v>7</v>
      </c>
      <c r="P494" s="11">
        <v>5</v>
      </c>
    </row>
    <row r="495" spans="1:16" x14ac:dyDescent="0.25">
      <c r="A495" s="11" t="s">
        <v>924</v>
      </c>
      <c r="B495" s="11" t="s">
        <v>547</v>
      </c>
      <c r="C495" s="11" t="s">
        <v>103</v>
      </c>
      <c r="D495" s="11" t="str">
        <f>Employees_Tbl[[#This Row],[LAST]] &amp;"." &amp; Employees_Tbl[[#This Row],[FIRST]]</f>
        <v>Thomas.Frank</v>
      </c>
      <c r="E495" s="11" t="s">
        <v>37</v>
      </c>
      <c r="F495" s="14">
        <v>43674</v>
      </c>
      <c r="G495" s="25">
        <f>YEAR(Employees_Tbl[[#This Row],[HIRE DATE]])</f>
        <v>2019</v>
      </c>
      <c r="H495" s="11" t="s">
        <v>705</v>
      </c>
      <c r="I495" s="11" t="s">
        <v>706</v>
      </c>
      <c r="J495" s="12">
        <v>67400</v>
      </c>
      <c r="K495" s="12">
        <v>1500</v>
      </c>
      <c r="L495" s="13">
        <v>0</v>
      </c>
      <c r="M495" s="13">
        <f>SUM(Employees_Tbl[[#This Row],[BASE SALARY]:[COMMISSION]])</f>
        <v>68900</v>
      </c>
      <c r="N495" s="11">
        <v>13</v>
      </c>
      <c r="O495" s="11">
        <v>8</v>
      </c>
      <c r="P495" s="11">
        <v>5</v>
      </c>
    </row>
    <row r="496" spans="1:16" x14ac:dyDescent="0.25">
      <c r="A496" s="11" t="s">
        <v>1142</v>
      </c>
      <c r="B496" s="11" t="s">
        <v>477</v>
      </c>
      <c r="C496" s="11" t="s">
        <v>1143</v>
      </c>
      <c r="D496" s="11" t="str">
        <f>Employees_Tbl[[#This Row],[LAST]] &amp;"." &amp; Employees_Tbl[[#This Row],[FIRST]]</f>
        <v>Gilbert.Barbara</v>
      </c>
      <c r="E496" s="11" t="s">
        <v>37</v>
      </c>
      <c r="F496" s="14">
        <v>44138</v>
      </c>
      <c r="G496" s="25">
        <f>YEAR(Employees_Tbl[[#This Row],[HIRE DATE]])</f>
        <v>2020</v>
      </c>
      <c r="H496" s="11" t="s">
        <v>705</v>
      </c>
      <c r="I496" s="11" t="s">
        <v>706</v>
      </c>
      <c r="J496" s="12">
        <v>60500</v>
      </c>
      <c r="K496" s="12">
        <v>1500</v>
      </c>
      <c r="L496" s="13">
        <v>0</v>
      </c>
      <c r="M496" s="13">
        <f>SUM(Employees_Tbl[[#This Row],[BASE SALARY]:[COMMISSION]])</f>
        <v>62000</v>
      </c>
      <c r="N496" s="11">
        <v>11</v>
      </c>
      <c r="O496" s="11">
        <v>9</v>
      </c>
      <c r="P496" s="11">
        <v>5</v>
      </c>
    </row>
    <row r="497" spans="1:16" x14ac:dyDescent="0.25">
      <c r="A497" s="11" t="s">
        <v>923</v>
      </c>
      <c r="B497" s="11" t="s">
        <v>634</v>
      </c>
      <c r="C497" s="11" t="s">
        <v>1362</v>
      </c>
      <c r="D497" s="11" t="str">
        <f>Employees_Tbl[[#This Row],[LAST]] &amp;"." &amp; Employees_Tbl[[#This Row],[FIRST]]</f>
        <v>Pelayo.Howard</v>
      </c>
      <c r="E497" s="11" t="s">
        <v>37</v>
      </c>
      <c r="F497" s="14">
        <v>43703</v>
      </c>
      <c r="G497" s="25">
        <f>YEAR(Employees_Tbl[[#This Row],[HIRE DATE]])</f>
        <v>2019</v>
      </c>
      <c r="H497" s="11" t="s">
        <v>705</v>
      </c>
      <c r="I497" s="11" t="s">
        <v>706</v>
      </c>
      <c r="J497" s="13">
        <v>58100</v>
      </c>
      <c r="K497" s="12">
        <v>1500</v>
      </c>
      <c r="L497" s="13">
        <v>0</v>
      </c>
      <c r="M497" s="13">
        <f>SUM(Employees_Tbl[[#This Row],[BASE SALARY]:[COMMISSION]])</f>
        <v>59600</v>
      </c>
      <c r="N497" s="11">
        <v>15</v>
      </c>
      <c r="O497" s="11">
        <v>5</v>
      </c>
      <c r="P497" s="11">
        <v>3</v>
      </c>
    </row>
    <row r="498" spans="1:16" x14ac:dyDescent="0.25">
      <c r="A498" s="11" t="s">
        <v>1139</v>
      </c>
      <c r="B498" s="11" t="s">
        <v>1140</v>
      </c>
      <c r="C498" s="11" t="s">
        <v>1141</v>
      </c>
      <c r="D498" s="11" t="str">
        <f>Employees_Tbl[[#This Row],[LAST]] &amp;"." &amp; Employees_Tbl[[#This Row],[FIRST]]</f>
        <v>Chang.Lorraine</v>
      </c>
      <c r="E498" s="11" t="s">
        <v>37</v>
      </c>
      <c r="F498" s="14">
        <v>44166</v>
      </c>
      <c r="G498" s="25">
        <f>YEAR(Employees_Tbl[[#This Row],[HIRE DATE]])</f>
        <v>2020</v>
      </c>
      <c r="H498" s="11" t="s">
        <v>705</v>
      </c>
      <c r="I498" s="11" t="s">
        <v>706</v>
      </c>
      <c r="J498" s="12">
        <v>52100</v>
      </c>
      <c r="K498" s="12">
        <v>1500</v>
      </c>
      <c r="L498" s="13">
        <v>0</v>
      </c>
      <c r="M498" s="13">
        <f>SUM(Employees_Tbl[[#This Row],[BASE SALARY]:[COMMISSION]])</f>
        <v>53600</v>
      </c>
      <c r="N498" s="11">
        <v>17</v>
      </c>
      <c r="O498" s="11">
        <v>6</v>
      </c>
      <c r="P498" s="11">
        <v>4</v>
      </c>
    </row>
    <row r="499" spans="1:16" x14ac:dyDescent="0.25">
      <c r="A499" s="11" t="s">
        <v>920</v>
      </c>
      <c r="B499" s="11" t="s">
        <v>921</v>
      </c>
      <c r="C499" s="11" t="s">
        <v>922</v>
      </c>
      <c r="D499" s="11" t="str">
        <f>Employees_Tbl[[#This Row],[LAST]] &amp;"." &amp; Employees_Tbl[[#This Row],[FIRST]]</f>
        <v>Mcgowan.Hollie</v>
      </c>
      <c r="E499" s="11" t="s">
        <v>37</v>
      </c>
      <c r="F499" s="14">
        <v>43620</v>
      </c>
      <c r="G499" s="25">
        <f>YEAR(Employees_Tbl[[#This Row],[HIRE DATE]])</f>
        <v>2019</v>
      </c>
      <c r="H499" s="11" t="s">
        <v>705</v>
      </c>
      <c r="I499" s="11" t="s">
        <v>706</v>
      </c>
      <c r="J499" s="12">
        <v>40900</v>
      </c>
      <c r="K499" s="12">
        <v>1500</v>
      </c>
      <c r="L499" s="13">
        <v>0</v>
      </c>
      <c r="M499" s="13">
        <f>SUM(Employees_Tbl[[#This Row],[BASE SALARY]:[COMMISSION]])</f>
        <v>42400</v>
      </c>
      <c r="N499" s="11">
        <v>17</v>
      </c>
      <c r="O499" s="11">
        <v>10</v>
      </c>
      <c r="P499" s="11">
        <v>4</v>
      </c>
    </row>
    <row r="500" spans="1:16" x14ac:dyDescent="0.25">
      <c r="A500" s="11" t="s">
        <v>754</v>
      </c>
      <c r="B500" s="11" t="s">
        <v>477</v>
      </c>
      <c r="C500" s="11" t="s">
        <v>755</v>
      </c>
      <c r="D500" s="11" t="str">
        <f>Employees_Tbl[[#This Row],[LAST]] &amp;"." &amp; Employees_Tbl[[#This Row],[FIRST]]</f>
        <v>Johnston.Barbara</v>
      </c>
      <c r="E500" s="11" t="s">
        <v>41</v>
      </c>
      <c r="F500" s="14">
        <v>43390</v>
      </c>
      <c r="G500" s="25">
        <f>YEAR(Employees_Tbl[[#This Row],[HIRE DATE]])</f>
        <v>2018</v>
      </c>
      <c r="H500" s="11" t="s">
        <v>705</v>
      </c>
      <c r="I500" s="11" t="s">
        <v>706</v>
      </c>
      <c r="J500" s="12">
        <v>79600</v>
      </c>
      <c r="K500" s="12">
        <v>3000</v>
      </c>
      <c r="L500" s="13">
        <v>0</v>
      </c>
      <c r="M500" s="13">
        <f>SUM(Employees_Tbl[[#This Row],[BASE SALARY]:[COMMISSION]])</f>
        <v>82600</v>
      </c>
      <c r="N500" s="11">
        <v>16</v>
      </c>
      <c r="O500" s="11">
        <v>11</v>
      </c>
      <c r="P500" s="11">
        <v>4</v>
      </c>
    </row>
    <row r="501" spans="1:16" x14ac:dyDescent="0.25">
      <c r="A501" s="11" t="s">
        <v>1157</v>
      </c>
      <c r="B501" s="11" t="s">
        <v>633</v>
      </c>
      <c r="C501" s="11" t="s">
        <v>634</v>
      </c>
      <c r="D501" s="11" t="str">
        <f>Employees_Tbl[[#This Row],[LAST]] &amp;"." &amp; Employees_Tbl[[#This Row],[FIRST]]</f>
        <v>Howard.Alice</v>
      </c>
      <c r="E501" s="11" t="s">
        <v>41</v>
      </c>
      <c r="F501" s="14">
        <v>44173</v>
      </c>
      <c r="G501" s="25">
        <f>YEAR(Employees_Tbl[[#This Row],[HIRE DATE]])</f>
        <v>2020</v>
      </c>
      <c r="H501" s="11" t="s">
        <v>705</v>
      </c>
      <c r="I501" s="11" t="s">
        <v>706</v>
      </c>
      <c r="J501" s="12">
        <v>71400</v>
      </c>
      <c r="K501" s="12">
        <v>1500</v>
      </c>
      <c r="L501" s="13">
        <v>0</v>
      </c>
      <c r="M501" s="13">
        <f>SUM(Employees_Tbl[[#This Row],[BASE SALARY]:[COMMISSION]])</f>
        <v>72900</v>
      </c>
      <c r="N501" s="11">
        <v>18</v>
      </c>
      <c r="O501" s="11">
        <v>4</v>
      </c>
      <c r="P501" s="11">
        <v>4</v>
      </c>
    </row>
    <row r="502" spans="1:16" x14ac:dyDescent="0.25">
      <c r="A502" s="11" t="s">
        <v>753</v>
      </c>
      <c r="B502" s="11" t="s">
        <v>687</v>
      </c>
      <c r="C502" s="11" t="s">
        <v>1375</v>
      </c>
      <c r="D502" s="11" t="str">
        <f>Employees_Tbl[[#This Row],[LAST]] &amp;"." &amp; Employees_Tbl[[#This Row],[FIRST]]</f>
        <v>Tang.Jennifer</v>
      </c>
      <c r="E502" s="11" t="s">
        <v>41</v>
      </c>
      <c r="F502" s="14">
        <v>43325</v>
      </c>
      <c r="G502" s="25">
        <f>YEAR(Employees_Tbl[[#This Row],[HIRE DATE]])</f>
        <v>2018</v>
      </c>
      <c r="H502" s="11" t="s">
        <v>705</v>
      </c>
      <c r="I502" s="11" t="s">
        <v>706</v>
      </c>
      <c r="J502" s="12">
        <v>69600</v>
      </c>
      <c r="K502" s="12">
        <v>1000</v>
      </c>
      <c r="L502" s="13">
        <v>0</v>
      </c>
      <c r="M502" s="13">
        <f>SUM(Employees_Tbl[[#This Row],[BASE SALARY]:[COMMISSION]])</f>
        <v>70600</v>
      </c>
      <c r="N502" s="11">
        <v>16</v>
      </c>
      <c r="O502" s="11">
        <v>2</v>
      </c>
      <c r="P502" s="11">
        <v>4</v>
      </c>
    </row>
    <row r="503" spans="1:16" x14ac:dyDescent="0.25">
      <c r="A503" s="11" t="s">
        <v>752</v>
      </c>
      <c r="B503" s="11" t="s">
        <v>1377</v>
      </c>
      <c r="C503" s="11" t="s">
        <v>1378</v>
      </c>
      <c r="D503" s="11" t="str">
        <f>Employees_Tbl[[#This Row],[LAST]] &amp;"." &amp; Employees_Tbl[[#This Row],[FIRST]]</f>
        <v>Ganeem.Jamila</v>
      </c>
      <c r="E503" s="11" t="s">
        <v>41</v>
      </c>
      <c r="F503" s="14">
        <v>43343</v>
      </c>
      <c r="G503" s="25">
        <f>YEAR(Employees_Tbl[[#This Row],[HIRE DATE]])</f>
        <v>2018</v>
      </c>
      <c r="H503" s="11" t="s">
        <v>705</v>
      </c>
      <c r="I503" s="11" t="s">
        <v>706</v>
      </c>
      <c r="J503" s="12">
        <v>63500</v>
      </c>
      <c r="K503" s="12">
        <v>2000</v>
      </c>
      <c r="L503" s="13">
        <v>0</v>
      </c>
      <c r="M503" s="13">
        <f>SUM(Employees_Tbl[[#This Row],[BASE SALARY]:[COMMISSION]])</f>
        <v>65500</v>
      </c>
      <c r="N503" s="11">
        <v>11</v>
      </c>
      <c r="O503" s="11">
        <v>3</v>
      </c>
      <c r="P503" s="11">
        <v>4</v>
      </c>
    </row>
    <row r="504" spans="1:16" x14ac:dyDescent="0.25">
      <c r="A504" s="11" t="s">
        <v>749</v>
      </c>
      <c r="B504" s="11" t="s">
        <v>750</v>
      </c>
      <c r="C504" s="11" t="s">
        <v>751</v>
      </c>
      <c r="D504" s="11" t="str">
        <f>Employees_Tbl[[#This Row],[LAST]] &amp;"." &amp; Employees_Tbl[[#This Row],[FIRST]]</f>
        <v>Johnson.Ryan</v>
      </c>
      <c r="E504" s="11" t="s">
        <v>41</v>
      </c>
      <c r="F504" s="14">
        <v>43259</v>
      </c>
      <c r="G504" s="25">
        <f>YEAR(Employees_Tbl[[#This Row],[HIRE DATE]])</f>
        <v>2018</v>
      </c>
      <c r="H504" s="11" t="s">
        <v>705</v>
      </c>
      <c r="I504" s="11" t="s">
        <v>706</v>
      </c>
      <c r="J504" s="12">
        <v>57200</v>
      </c>
      <c r="K504" s="12">
        <v>1500</v>
      </c>
      <c r="L504" s="13">
        <v>0</v>
      </c>
      <c r="M504" s="13">
        <f>SUM(Employees_Tbl[[#This Row],[BASE SALARY]:[COMMISSION]])</f>
        <v>58700</v>
      </c>
      <c r="N504" s="11">
        <v>15</v>
      </c>
      <c r="O504" s="11">
        <v>5</v>
      </c>
      <c r="P504" s="11">
        <v>5</v>
      </c>
    </row>
    <row r="505" spans="1:16" x14ac:dyDescent="0.25">
      <c r="A505" s="11" t="s">
        <v>747</v>
      </c>
      <c r="B505" s="11" t="s">
        <v>238</v>
      </c>
      <c r="C505" s="11" t="s">
        <v>748</v>
      </c>
      <c r="D505" s="11" t="str">
        <f>Employees_Tbl[[#This Row],[LAST]] &amp;"." &amp; Employees_Tbl[[#This Row],[FIRST]]</f>
        <v>Willoughby.Tom</v>
      </c>
      <c r="E505" s="11" t="s">
        <v>41</v>
      </c>
      <c r="F505" s="14">
        <v>43203</v>
      </c>
      <c r="G505" s="25">
        <f>YEAR(Employees_Tbl[[#This Row],[HIRE DATE]])</f>
        <v>2018</v>
      </c>
      <c r="H505" s="11" t="s">
        <v>705</v>
      </c>
      <c r="I505" s="11" t="s">
        <v>706</v>
      </c>
      <c r="J505" s="12">
        <v>48300</v>
      </c>
      <c r="K505" s="12">
        <v>2000</v>
      </c>
      <c r="L505" s="13">
        <v>0</v>
      </c>
      <c r="M505" s="13">
        <f>SUM(Employees_Tbl[[#This Row],[BASE SALARY]:[COMMISSION]])</f>
        <v>50300</v>
      </c>
      <c r="N505" s="11">
        <v>15</v>
      </c>
      <c r="O505" s="11">
        <v>3</v>
      </c>
      <c r="P505" s="11">
        <v>3</v>
      </c>
    </row>
    <row r="506" spans="1:16" x14ac:dyDescent="0.25">
      <c r="A506" s="11" t="s">
        <v>1155</v>
      </c>
      <c r="B506" s="11" t="s">
        <v>730</v>
      </c>
      <c r="C506" s="11" t="s">
        <v>1156</v>
      </c>
      <c r="D506" s="11" t="str">
        <f>Employees_Tbl[[#This Row],[LAST]] &amp;"." &amp; Employees_Tbl[[#This Row],[FIRST]]</f>
        <v>Stanfill.Juanita</v>
      </c>
      <c r="E506" s="11" t="s">
        <v>41</v>
      </c>
      <c r="F506" s="14">
        <v>44156</v>
      </c>
      <c r="G506" s="25">
        <f>YEAR(Employees_Tbl[[#This Row],[HIRE DATE]])</f>
        <v>2020</v>
      </c>
      <c r="H506" s="11" t="s">
        <v>705</v>
      </c>
      <c r="I506" s="11" t="s">
        <v>706</v>
      </c>
      <c r="J506" s="12">
        <v>47300</v>
      </c>
      <c r="K506" s="12">
        <v>1500</v>
      </c>
      <c r="L506" s="13">
        <v>0</v>
      </c>
      <c r="M506" s="13">
        <f>SUM(Employees_Tbl[[#This Row],[BASE SALARY]:[COMMISSION]])</f>
        <v>48800</v>
      </c>
      <c r="N506" s="11">
        <v>17</v>
      </c>
      <c r="O506" s="11">
        <v>5</v>
      </c>
      <c r="P506" s="11">
        <v>5</v>
      </c>
    </row>
    <row r="507" spans="1:16" x14ac:dyDescent="0.25">
      <c r="A507" s="11" t="s">
        <v>1152</v>
      </c>
      <c r="B507" s="11" t="s">
        <v>1153</v>
      </c>
      <c r="C507" s="11" t="s">
        <v>1154</v>
      </c>
      <c r="D507" s="11" t="str">
        <f>Employees_Tbl[[#This Row],[LAST]] &amp;"." &amp; Employees_Tbl[[#This Row],[FIRST]]</f>
        <v>Best.Duane</v>
      </c>
      <c r="E507" s="11" t="s">
        <v>41</v>
      </c>
      <c r="F507" s="14">
        <v>44110</v>
      </c>
      <c r="G507" s="25">
        <f>YEAR(Employees_Tbl[[#This Row],[HIRE DATE]])</f>
        <v>2020</v>
      </c>
      <c r="H507" s="11" t="s">
        <v>705</v>
      </c>
      <c r="I507" s="11" t="s">
        <v>706</v>
      </c>
      <c r="J507" s="12">
        <v>39200</v>
      </c>
      <c r="K507" s="12">
        <v>1000</v>
      </c>
      <c r="L507" s="13">
        <v>0</v>
      </c>
      <c r="M507" s="13">
        <f>SUM(Employees_Tbl[[#This Row],[BASE SALARY]:[COMMISSION]])</f>
        <v>40200</v>
      </c>
      <c r="N507" s="11">
        <v>12</v>
      </c>
      <c r="O507" s="11">
        <v>7</v>
      </c>
      <c r="P507" s="11">
        <v>3</v>
      </c>
    </row>
    <row r="508" spans="1:16" x14ac:dyDescent="0.25">
      <c r="A508" s="11" t="s">
        <v>744</v>
      </c>
      <c r="B508" s="11" t="s">
        <v>745</v>
      </c>
      <c r="C508" s="11" t="s">
        <v>746</v>
      </c>
      <c r="D508" s="11" t="str">
        <f>Employees_Tbl[[#This Row],[LAST]] &amp;"." &amp; Employees_Tbl[[#This Row],[FIRST]]</f>
        <v>Lynch.Evan</v>
      </c>
      <c r="E508" s="11" t="s">
        <v>41</v>
      </c>
      <c r="F508" s="14">
        <v>43274</v>
      </c>
      <c r="G508" s="25">
        <f>YEAR(Employees_Tbl[[#This Row],[HIRE DATE]])</f>
        <v>2018</v>
      </c>
      <c r="H508" s="11" t="s">
        <v>705</v>
      </c>
      <c r="I508" s="11" t="s">
        <v>706</v>
      </c>
      <c r="J508" s="12">
        <v>34200</v>
      </c>
      <c r="K508" s="12">
        <v>1000</v>
      </c>
      <c r="L508" s="13">
        <v>0</v>
      </c>
      <c r="M508" s="13">
        <f>SUM(Employees_Tbl[[#This Row],[BASE SALARY]:[COMMISSION]])</f>
        <v>35200</v>
      </c>
      <c r="N508" s="11">
        <v>13</v>
      </c>
      <c r="O508" s="11">
        <v>7</v>
      </c>
      <c r="P508" s="11">
        <v>5</v>
      </c>
    </row>
    <row r="509" spans="1:16" x14ac:dyDescent="0.25">
      <c r="A509" s="11" t="s">
        <v>928</v>
      </c>
      <c r="B509" s="11" t="s">
        <v>355</v>
      </c>
      <c r="C509" s="11" t="s">
        <v>929</v>
      </c>
      <c r="D509" s="11" t="str">
        <f>Employees_Tbl[[#This Row],[LAST]] &amp;"." &amp; Employees_Tbl[[#This Row],[FIRST]]</f>
        <v>Higa.Margaret</v>
      </c>
      <c r="E509" s="11" t="s">
        <v>41</v>
      </c>
      <c r="F509" s="14">
        <v>43654</v>
      </c>
      <c r="G509" s="25">
        <f>YEAR(Employees_Tbl[[#This Row],[HIRE DATE]])</f>
        <v>2019</v>
      </c>
      <c r="H509" s="11" t="s">
        <v>705</v>
      </c>
      <c r="I509" s="11" t="s">
        <v>706</v>
      </c>
      <c r="J509" s="12">
        <v>31200</v>
      </c>
      <c r="K509" s="12">
        <v>1000</v>
      </c>
      <c r="L509" s="13">
        <v>0</v>
      </c>
      <c r="M509" s="13">
        <f>SUM(Employees_Tbl[[#This Row],[BASE SALARY]:[COMMISSION]])</f>
        <v>32200</v>
      </c>
      <c r="N509" s="11">
        <v>11</v>
      </c>
      <c r="O509" s="11">
        <v>11</v>
      </c>
      <c r="P509" s="11">
        <v>5</v>
      </c>
    </row>
    <row r="510" spans="1:16" x14ac:dyDescent="0.25">
      <c r="A510" s="11" t="s">
        <v>1299</v>
      </c>
      <c r="B510" s="11" t="s">
        <v>677</v>
      </c>
      <c r="C510" s="11" t="s">
        <v>1151</v>
      </c>
      <c r="D510" s="11" t="str">
        <f>Employees_Tbl[[#This Row],[LAST]] &amp;"." &amp; Employees_Tbl[[#This Row],[FIRST]]</f>
        <v>Gerhardt.Diane</v>
      </c>
      <c r="E510" s="11" t="s">
        <v>41</v>
      </c>
      <c r="F510" s="14">
        <v>44110</v>
      </c>
      <c r="G510" s="25">
        <f>YEAR(Employees_Tbl[[#This Row],[HIRE DATE]])</f>
        <v>2020</v>
      </c>
      <c r="H510" s="11" t="s">
        <v>705</v>
      </c>
      <c r="I510" s="11" t="s">
        <v>706</v>
      </c>
      <c r="J510" s="12">
        <v>29600</v>
      </c>
      <c r="K510" s="12">
        <v>1000</v>
      </c>
      <c r="L510" s="13">
        <v>0</v>
      </c>
      <c r="M510" s="13">
        <f>SUM(Employees_Tbl[[#This Row],[BASE SALARY]:[COMMISSION]])</f>
        <v>30600</v>
      </c>
      <c r="N510" s="11">
        <v>18</v>
      </c>
      <c r="O510" s="11">
        <v>6</v>
      </c>
      <c r="P510" s="11">
        <v>5</v>
      </c>
    </row>
    <row r="511" spans="1:16" x14ac:dyDescent="0.25">
      <c r="A511" s="11" t="s">
        <v>937</v>
      </c>
      <c r="B511" s="11" t="s">
        <v>842</v>
      </c>
      <c r="C511" s="11" t="s">
        <v>938</v>
      </c>
      <c r="D511" s="11" t="str">
        <f>Employees_Tbl[[#This Row],[LAST]] &amp;"." &amp; Employees_Tbl[[#This Row],[FIRST]]</f>
        <v>Castillo.Chester</v>
      </c>
      <c r="E511" s="11" t="s">
        <v>45</v>
      </c>
      <c r="F511" s="14">
        <v>43539</v>
      </c>
      <c r="G511" s="25">
        <f>YEAR(Employees_Tbl[[#This Row],[HIRE DATE]])</f>
        <v>2019</v>
      </c>
      <c r="H511" s="11" t="s">
        <v>705</v>
      </c>
      <c r="I511" s="11" t="s">
        <v>706</v>
      </c>
      <c r="J511" s="12">
        <v>92800</v>
      </c>
      <c r="K511" s="12">
        <v>3500</v>
      </c>
      <c r="L511" s="13">
        <v>0</v>
      </c>
      <c r="M511" s="13">
        <f>SUM(Employees_Tbl[[#This Row],[BASE SALARY]:[COMMISSION]])</f>
        <v>96300</v>
      </c>
      <c r="N511" s="11">
        <v>13</v>
      </c>
      <c r="O511" s="11">
        <v>1</v>
      </c>
      <c r="P511" s="11">
        <v>4</v>
      </c>
    </row>
    <row r="512" spans="1:16" x14ac:dyDescent="0.25">
      <c r="A512" s="11" t="s">
        <v>772</v>
      </c>
      <c r="B512" s="11" t="s">
        <v>220</v>
      </c>
      <c r="C512" s="11" t="s">
        <v>773</v>
      </c>
      <c r="D512" s="11" t="str">
        <f>Employees_Tbl[[#This Row],[LAST]] &amp;"." &amp; Employees_Tbl[[#This Row],[FIRST]]</f>
        <v>Sato.Betty</v>
      </c>
      <c r="E512" s="11" t="s">
        <v>45</v>
      </c>
      <c r="F512" s="14">
        <v>43132</v>
      </c>
      <c r="G512" s="25">
        <f>YEAR(Employees_Tbl[[#This Row],[HIRE DATE]])</f>
        <v>2018</v>
      </c>
      <c r="H512" s="11" t="s">
        <v>705</v>
      </c>
      <c r="I512" s="11" t="s">
        <v>706</v>
      </c>
      <c r="J512" s="12">
        <v>85700</v>
      </c>
      <c r="K512" s="12">
        <v>2500</v>
      </c>
      <c r="L512" s="13">
        <v>0</v>
      </c>
      <c r="M512" s="13">
        <f>SUM(Employees_Tbl[[#This Row],[BASE SALARY]:[COMMISSION]])</f>
        <v>88200</v>
      </c>
      <c r="N512" s="11">
        <v>14</v>
      </c>
      <c r="O512" s="11">
        <v>4</v>
      </c>
      <c r="P512" s="11">
        <v>5</v>
      </c>
    </row>
    <row r="513" spans="1:16" x14ac:dyDescent="0.25">
      <c r="A513" s="11" t="s">
        <v>1164</v>
      </c>
      <c r="B513" s="11" t="s">
        <v>114</v>
      </c>
      <c r="C513" s="11" t="s">
        <v>1165</v>
      </c>
      <c r="D513" s="11" t="str">
        <f>Employees_Tbl[[#This Row],[LAST]] &amp;"." &amp; Employees_Tbl[[#This Row],[FIRST]]</f>
        <v>Holst.William</v>
      </c>
      <c r="E513" s="11" t="s">
        <v>45</v>
      </c>
      <c r="F513" s="14">
        <v>43948</v>
      </c>
      <c r="G513" s="25">
        <f>YEAR(Employees_Tbl[[#This Row],[HIRE DATE]])</f>
        <v>2020</v>
      </c>
      <c r="H513" s="11" t="s">
        <v>705</v>
      </c>
      <c r="I513" s="11" t="s">
        <v>706</v>
      </c>
      <c r="J513" s="12">
        <v>85600</v>
      </c>
      <c r="K513" s="12">
        <v>2000</v>
      </c>
      <c r="L513" s="13">
        <v>0</v>
      </c>
      <c r="M513" s="13">
        <f>SUM(Employees_Tbl[[#This Row],[BASE SALARY]:[COMMISSION]])</f>
        <v>87600</v>
      </c>
      <c r="N513" s="11">
        <v>11</v>
      </c>
      <c r="O513" s="11">
        <v>7</v>
      </c>
      <c r="P513" s="11">
        <v>5</v>
      </c>
    </row>
    <row r="514" spans="1:16" x14ac:dyDescent="0.25">
      <c r="A514" s="11" t="s">
        <v>771</v>
      </c>
      <c r="B514" s="11" t="s">
        <v>1341</v>
      </c>
      <c r="C514" s="11" t="s">
        <v>1342</v>
      </c>
      <c r="D514" s="11" t="str">
        <f>Employees_Tbl[[#This Row],[LAST]] &amp;"." &amp; Employees_Tbl[[#This Row],[FIRST]]</f>
        <v>Latham.Javier</v>
      </c>
      <c r="E514" s="11" t="s">
        <v>45</v>
      </c>
      <c r="F514" s="14">
        <v>43158</v>
      </c>
      <c r="G514" s="25">
        <f>YEAR(Employees_Tbl[[#This Row],[HIRE DATE]])</f>
        <v>2018</v>
      </c>
      <c r="H514" s="11" t="s">
        <v>705</v>
      </c>
      <c r="I514" s="11" t="s">
        <v>706</v>
      </c>
      <c r="J514" s="13">
        <v>83300</v>
      </c>
      <c r="K514" s="12">
        <v>2500</v>
      </c>
      <c r="L514" s="13">
        <v>0</v>
      </c>
      <c r="M514" s="13">
        <f>SUM(Employees_Tbl[[#This Row],[BASE SALARY]:[COMMISSION]])</f>
        <v>85800</v>
      </c>
      <c r="N514" s="11">
        <v>14</v>
      </c>
      <c r="O514" s="11">
        <v>8</v>
      </c>
      <c r="P514" s="11">
        <v>3</v>
      </c>
    </row>
    <row r="515" spans="1:16" x14ac:dyDescent="0.25">
      <c r="A515" s="11" t="s">
        <v>1162</v>
      </c>
      <c r="B515" s="11" t="s">
        <v>355</v>
      </c>
      <c r="C515" s="11" t="s">
        <v>1163</v>
      </c>
      <c r="D515" s="11" t="str">
        <f>Employees_Tbl[[#This Row],[LAST]] &amp;"." &amp; Employees_Tbl[[#This Row],[FIRST]]</f>
        <v>Roudebush.Margaret</v>
      </c>
      <c r="E515" s="11" t="s">
        <v>45</v>
      </c>
      <c r="F515" s="14">
        <v>43903</v>
      </c>
      <c r="G515" s="25">
        <f>YEAR(Employees_Tbl[[#This Row],[HIRE DATE]])</f>
        <v>2020</v>
      </c>
      <c r="H515" s="11" t="s">
        <v>705</v>
      </c>
      <c r="I515" s="11" t="s">
        <v>706</v>
      </c>
      <c r="J515" s="12">
        <v>81900</v>
      </c>
      <c r="K515" s="12">
        <v>2500</v>
      </c>
      <c r="L515" s="13">
        <v>0</v>
      </c>
      <c r="M515" s="13">
        <f>SUM(Employees_Tbl[[#This Row],[BASE SALARY]:[COMMISSION]])</f>
        <v>84400</v>
      </c>
      <c r="N515" s="11">
        <v>15</v>
      </c>
      <c r="O515" s="11">
        <v>4</v>
      </c>
      <c r="P515" s="11">
        <v>3</v>
      </c>
    </row>
    <row r="516" spans="1:16" x14ac:dyDescent="0.25">
      <c r="A516" s="11" t="s">
        <v>935</v>
      </c>
      <c r="B516" s="11" t="s">
        <v>204</v>
      </c>
      <c r="C516" s="11" t="s">
        <v>936</v>
      </c>
      <c r="D516" s="11" t="str">
        <f>Employees_Tbl[[#This Row],[LAST]] &amp;"." &amp; Employees_Tbl[[#This Row],[FIRST]]</f>
        <v>Maddox.Richard</v>
      </c>
      <c r="E516" s="11" t="s">
        <v>45</v>
      </c>
      <c r="F516" s="14">
        <v>43718</v>
      </c>
      <c r="G516" s="25">
        <f>YEAR(Employees_Tbl[[#This Row],[HIRE DATE]])</f>
        <v>2019</v>
      </c>
      <c r="H516" s="11" t="s">
        <v>705</v>
      </c>
      <c r="I516" s="11" t="s">
        <v>706</v>
      </c>
      <c r="J516" s="12">
        <v>73800</v>
      </c>
      <c r="K516" s="12">
        <v>3000</v>
      </c>
      <c r="L516" s="13">
        <v>0</v>
      </c>
      <c r="M516" s="13">
        <f>SUM(Employees_Tbl[[#This Row],[BASE SALARY]:[COMMISSION]])</f>
        <v>76800</v>
      </c>
      <c r="N516" s="11">
        <v>10</v>
      </c>
      <c r="O516" s="11">
        <v>7</v>
      </c>
      <c r="P516" s="11">
        <v>4</v>
      </c>
    </row>
    <row r="517" spans="1:16" x14ac:dyDescent="0.25">
      <c r="A517" s="11" t="s">
        <v>765</v>
      </c>
      <c r="B517" s="11" t="s">
        <v>766</v>
      </c>
      <c r="C517" s="11" t="s">
        <v>767</v>
      </c>
      <c r="D517" s="11" t="str">
        <f>Employees_Tbl[[#This Row],[LAST]] &amp;"." &amp; Employees_Tbl[[#This Row],[FIRST]]</f>
        <v>Altman.Penny</v>
      </c>
      <c r="E517" s="11" t="s">
        <v>45</v>
      </c>
      <c r="F517" s="14">
        <v>43396</v>
      </c>
      <c r="G517" s="25">
        <f>YEAR(Employees_Tbl[[#This Row],[HIRE DATE]])</f>
        <v>2018</v>
      </c>
      <c r="H517" s="11" t="s">
        <v>705</v>
      </c>
      <c r="I517" s="11" t="s">
        <v>706</v>
      </c>
      <c r="J517" s="12">
        <v>72400</v>
      </c>
      <c r="K517" s="12">
        <v>2000</v>
      </c>
      <c r="L517" s="13">
        <v>0</v>
      </c>
      <c r="M517" s="13">
        <f>SUM(Employees_Tbl[[#This Row],[BASE SALARY]:[COMMISSION]])</f>
        <v>74400</v>
      </c>
      <c r="N517" s="11">
        <v>12</v>
      </c>
      <c r="O517" s="11">
        <v>7</v>
      </c>
      <c r="P517" s="11">
        <v>4</v>
      </c>
    </row>
    <row r="518" spans="1:16" x14ac:dyDescent="0.25">
      <c r="A518" s="11" t="s">
        <v>768</v>
      </c>
      <c r="B518" s="11" t="s">
        <v>769</v>
      </c>
      <c r="C518" s="11" t="s">
        <v>770</v>
      </c>
      <c r="D518" s="11" t="str">
        <f>Employees_Tbl[[#This Row],[LAST]] &amp;"." &amp; Employees_Tbl[[#This Row],[FIRST]]</f>
        <v>Andrews.Sandy</v>
      </c>
      <c r="E518" s="11" t="s">
        <v>45</v>
      </c>
      <c r="F518" s="14">
        <v>43456</v>
      </c>
      <c r="G518" s="25">
        <f>YEAR(Employees_Tbl[[#This Row],[HIRE DATE]])</f>
        <v>2018</v>
      </c>
      <c r="H518" s="11" t="s">
        <v>705</v>
      </c>
      <c r="I518" s="11" t="s">
        <v>706</v>
      </c>
      <c r="J518" s="12">
        <v>70800</v>
      </c>
      <c r="K518" s="12">
        <v>2000</v>
      </c>
      <c r="L518" s="13">
        <v>0</v>
      </c>
      <c r="M518" s="13">
        <f>SUM(Employees_Tbl[[#This Row],[BASE SALARY]:[COMMISSION]])</f>
        <v>72800</v>
      </c>
      <c r="N518" s="11">
        <v>18</v>
      </c>
      <c r="O518" s="11">
        <v>2</v>
      </c>
      <c r="P518" s="11">
        <v>3</v>
      </c>
    </row>
    <row r="519" spans="1:16" x14ac:dyDescent="0.25">
      <c r="A519" s="11" t="s">
        <v>1160</v>
      </c>
      <c r="B519" s="11" t="s">
        <v>1028</v>
      </c>
      <c r="C519" s="11" t="s">
        <v>1161</v>
      </c>
      <c r="D519" s="11" t="str">
        <f>Employees_Tbl[[#This Row],[LAST]] &amp;"." &amp; Employees_Tbl[[#This Row],[FIRST]]</f>
        <v>Knight.Valerie</v>
      </c>
      <c r="E519" s="11" t="s">
        <v>45</v>
      </c>
      <c r="F519" s="14">
        <v>43864</v>
      </c>
      <c r="G519" s="25">
        <f>YEAR(Employees_Tbl[[#This Row],[HIRE DATE]])</f>
        <v>2020</v>
      </c>
      <c r="H519" s="11" t="s">
        <v>705</v>
      </c>
      <c r="I519" s="11" t="s">
        <v>706</v>
      </c>
      <c r="J519" s="12">
        <v>70600</v>
      </c>
      <c r="K519" s="12">
        <v>2500</v>
      </c>
      <c r="L519" s="13">
        <v>0</v>
      </c>
      <c r="M519" s="13">
        <f>SUM(Employees_Tbl[[#This Row],[BASE SALARY]:[COMMISSION]])</f>
        <v>73100</v>
      </c>
      <c r="N519" s="11">
        <v>13</v>
      </c>
      <c r="O519" s="11">
        <v>11</v>
      </c>
      <c r="P519" s="11">
        <v>4</v>
      </c>
    </row>
    <row r="520" spans="1:16" x14ac:dyDescent="0.25">
      <c r="A520" s="11" t="s">
        <v>762</v>
      </c>
      <c r="B520" s="11" t="s">
        <v>763</v>
      </c>
      <c r="C520" s="11" t="s">
        <v>764</v>
      </c>
      <c r="D520" s="11" t="str">
        <f>Employees_Tbl[[#This Row],[LAST]] &amp;"." &amp; Employees_Tbl[[#This Row],[FIRST]]</f>
        <v>Bates.Nancy</v>
      </c>
      <c r="E520" s="11" t="s">
        <v>45</v>
      </c>
      <c r="F520" s="14">
        <v>43284</v>
      </c>
      <c r="G520" s="25">
        <f>YEAR(Employees_Tbl[[#This Row],[HIRE DATE]])</f>
        <v>2018</v>
      </c>
      <c r="H520" s="11" t="s">
        <v>705</v>
      </c>
      <c r="I520" s="11" t="s">
        <v>706</v>
      </c>
      <c r="J520" s="12">
        <v>66600</v>
      </c>
      <c r="K520" s="12">
        <v>2000</v>
      </c>
      <c r="L520" s="13">
        <v>0</v>
      </c>
      <c r="M520" s="13">
        <f>SUM(Employees_Tbl[[#This Row],[BASE SALARY]:[COMMISSION]])</f>
        <v>68600</v>
      </c>
      <c r="N520" s="11">
        <v>16</v>
      </c>
      <c r="O520" s="11">
        <v>5</v>
      </c>
      <c r="P520" s="11">
        <v>5</v>
      </c>
    </row>
    <row r="521" spans="1:16" x14ac:dyDescent="0.25">
      <c r="A521" s="11" t="s">
        <v>933</v>
      </c>
      <c r="B521" s="11" t="s">
        <v>204</v>
      </c>
      <c r="C521" s="11" t="s">
        <v>934</v>
      </c>
      <c r="D521" s="11" t="str">
        <f>Employees_Tbl[[#This Row],[LAST]] &amp;"." &amp; Employees_Tbl[[#This Row],[FIRST]]</f>
        <v>Whitlock.Richard</v>
      </c>
      <c r="E521" s="11" t="s">
        <v>45</v>
      </c>
      <c r="F521" s="14">
        <v>43822</v>
      </c>
      <c r="G521" s="25">
        <f>YEAR(Employees_Tbl[[#This Row],[HIRE DATE]])</f>
        <v>2019</v>
      </c>
      <c r="H521" s="11" t="s">
        <v>705</v>
      </c>
      <c r="I521" s="11" t="s">
        <v>706</v>
      </c>
      <c r="J521" s="12">
        <v>65100</v>
      </c>
      <c r="K521" s="12">
        <v>2000</v>
      </c>
      <c r="L521" s="13">
        <v>0</v>
      </c>
      <c r="M521" s="13">
        <f>SUM(Employees_Tbl[[#This Row],[BASE SALARY]:[COMMISSION]])</f>
        <v>67100</v>
      </c>
      <c r="N521" s="11">
        <v>13</v>
      </c>
      <c r="O521" s="11">
        <v>6</v>
      </c>
      <c r="P521" s="11">
        <v>5</v>
      </c>
    </row>
    <row r="522" spans="1:16" x14ac:dyDescent="0.25">
      <c r="A522" s="11" t="s">
        <v>759</v>
      </c>
      <c r="B522" s="11" t="s">
        <v>760</v>
      </c>
      <c r="C522" s="11" t="s">
        <v>761</v>
      </c>
      <c r="D522" s="11" t="str">
        <f>Employees_Tbl[[#This Row],[LAST]] &amp;"." &amp; Employees_Tbl[[#This Row],[FIRST]]</f>
        <v>Gonzales.Elsie</v>
      </c>
      <c r="E522" s="11" t="s">
        <v>45</v>
      </c>
      <c r="F522" s="14">
        <v>43318</v>
      </c>
      <c r="G522" s="25">
        <f>YEAR(Employees_Tbl[[#This Row],[HIRE DATE]])</f>
        <v>2018</v>
      </c>
      <c r="H522" s="11" t="s">
        <v>705</v>
      </c>
      <c r="I522" s="11" t="s">
        <v>706</v>
      </c>
      <c r="J522" s="12">
        <v>46900</v>
      </c>
      <c r="K522" s="12">
        <v>1500</v>
      </c>
      <c r="L522" s="13">
        <v>0</v>
      </c>
      <c r="M522" s="13">
        <f>SUM(Employees_Tbl[[#This Row],[BASE SALARY]:[COMMISSION]])</f>
        <v>48400</v>
      </c>
      <c r="N522" s="11">
        <v>13</v>
      </c>
      <c r="O522" s="11">
        <v>8</v>
      </c>
      <c r="P522" s="11">
        <v>3</v>
      </c>
    </row>
    <row r="523" spans="1:16" x14ac:dyDescent="0.25">
      <c r="A523" s="11" t="s">
        <v>930</v>
      </c>
      <c r="B523" s="11" t="s">
        <v>931</v>
      </c>
      <c r="C523" s="11" t="s">
        <v>932</v>
      </c>
      <c r="D523" s="11" t="str">
        <f>Employees_Tbl[[#This Row],[LAST]] &amp;"." &amp; Employees_Tbl[[#This Row],[FIRST]]</f>
        <v>Davenport.Chad</v>
      </c>
      <c r="E523" s="11" t="s">
        <v>45</v>
      </c>
      <c r="F523" s="14">
        <v>43506</v>
      </c>
      <c r="G523" s="25">
        <f>YEAR(Employees_Tbl[[#This Row],[HIRE DATE]])</f>
        <v>2019</v>
      </c>
      <c r="H523" s="11" t="s">
        <v>705</v>
      </c>
      <c r="I523" s="11" t="s">
        <v>706</v>
      </c>
      <c r="J523" s="12">
        <v>45100</v>
      </c>
      <c r="K523" s="12">
        <v>1500</v>
      </c>
      <c r="L523" s="13">
        <v>0</v>
      </c>
      <c r="M523" s="13">
        <f>SUM(Employees_Tbl[[#This Row],[BASE SALARY]:[COMMISSION]])</f>
        <v>46600</v>
      </c>
      <c r="N523" s="11">
        <v>15</v>
      </c>
      <c r="O523" s="11">
        <v>4</v>
      </c>
      <c r="P523" s="11">
        <v>4</v>
      </c>
    </row>
    <row r="524" spans="1:16" x14ac:dyDescent="0.25">
      <c r="A524" s="11" t="s">
        <v>756</v>
      </c>
      <c r="B524" s="11" t="s">
        <v>757</v>
      </c>
      <c r="C524" s="11" t="s">
        <v>758</v>
      </c>
      <c r="D524" s="11" t="str">
        <f>Employees_Tbl[[#This Row],[LAST]] &amp;"." &amp; Employees_Tbl[[#This Row],[FIRST]]</f>
        <v>Batie.Clyde</v>
      </c>
      <c r="E524" s="11" t="s">
        <v>45</v>
      </c>
      <c r="F524" s="14">
        <v>43189</v>
      </c>
      <c r="G524" s="25">
        <f>YEAR(Employees_Tbl[[#This Row],[HIRE DATE]])</f>
        <v>2018</v>
      </c>
      <c r="H524" s="11" t="s">
        <v>705</v>
      </c>
      <c r="I524" s="11" t="s">
        <v>706</v>
      </c>
      <c r="J524" s="12">
        <v>36400</v>
      </c>
      <c r="K524" s="12">
        <v>500</v>
      </c>
      <c r="L524" s="13">
        <v>0</v>
      </c>
      <c r="M524" s="13">
        <f>SUM(Employees_Tbl[[#This Row],[BASE SALARY]:[COMMISSION]])</f>
        <v>36900</v>
      </c>
      <c r="N524" s="11">
        <v>15</v>
      </c>
      <c r="O524" s="11">
        <v>4</v>
      </c>
      <c r="P524" s="11">
        <v>4</v>
      </c>
    </row>
    <row r="525" spans="1:16" x14ac:dyDescent="0.25">
      <c r="A525" s="11" t="s">
        <v>1158</v>
      </c>
      <c r="B525" s="11" t="s">
        <v>103</v>
      </c>
      <c r="C525" s="11" t="s">
        <v>1159</v>
      </c>
      <c r="D525" s="11" t="str">
        <f>Employees_Tbl[[#This Row],[LAST]] &amp;"." &amp; Employees_Tbl[[#This Row],[FIRST]]</f>
        <v>Murphy.Thomas</v>
      </c>
      <c r="E525" s="11" t="s">
        <v>45</v>
      </c>
      <c r="F525" s="14">
        <v>44025</v>
      </c>
      <c r="G525" s="25">
        <f>YEAR(Employees_Tbl[[#This Row],[HIRE DATE]])</f>
        <v>2020</v>
      </c>
      <c r="H525" s="11" t="s">
        <v>705</v>
      </c>
      <c r="I525" s="11" t="s">
        <v>706</v>
      </c>
      <c r="J525" s="12">
        <v>31700</v>
      </c>
      <c r="K525" s="12">
        <v>1000</v>
      </c>
      <c r="L525" s="13">
        <v>0</v>
      </c>
      <c r="M525" s="13">
        <f>SUM(Employees_Tbl[[#This Row],[BASE SALARY]:[COMMISSION]])</f>
        <v>32700</v>
      </c>
      <c r="N525" s="11">
        <v>17</v>
      </c>
      <c r="O525" s="11">
        <v>6</v>
      </c>
      <c r="P525" s="11">
        <v>5</v>
      </c>
    </row>
    <row r="526" spans="1:16" x14ac:dyDescent="0.25">
      <c r="A526" s="11" t="s">
        <v>946</v>
      </c>
      <c r="B526" s="11" t="s">
        <v>94</v>
      </c>
      <c r="C526" s="11" t="s">
        <v>947</v>
      </c>
      <c r="D526" s="11" t="str">
        <f>Employees_Tbl[[#This Row],[LAST]] &amp;"." &amp; Employees_Tbl[[#This Row],[FIRST]]</f>
        <v>Green.John</v>
      </c>
      <c r="E526" s="11" t="s">
        <v>49</v>
      </c>
      <c r="F526" s="14">
        <v>43484</v>
      </c>
      <c r="G526" s="25">
        <f>YEAR(Employees_Tbl[[#This Row],[HIRE DATE]])</f>
        <v>2019</v>
      </c>
      <c r="H526" s="11" t="s">
        <v>705</v>
      </c>
      <c r="I526" s="11" t="s">
        <v>706</v>
      </c>
      <c r="J526" s="12">
        <v>51700</v>
      </c>
      <c r="K526" s="12">
        <v>2000</v>
      </c>
      <c r="L526" s="13">
        <v>39700</v>
      </c>
      <c r="M526" s="13">
        <f>SUM(Employees_Tbl[[#This Row],[BASE SALARY]:[COMMISSION]])</f>
        <v>93400</v>
      </c>
      <c r="N526" s="11">
        <v>16</v>
      </c>
      <c r="O526" s="11">
        <v>13</v>
      </c>
      <c r="P526" s="11">
        <v>5</v>
      </c>
    </row>
    <row r="527" spans="1:16" x14ac:dyDescent="0.25">
      <c r="A527" s="11" t="s">
        <v>778</v>
      </c>
      <c r="B527" s="11" t="s">
        <v>779</v>
      </c>
      <c r="C527" s="11" t="s">
        <v>780</v>
      </c>
      <c r="D527" s="11" t="str">
        <f>Employees_Tbl[[#This Row],[LAST]] &amp;"." &amp; Employees_Tbl[[#This Row],[FIRST]]</f>
        <v>Beach.Eugene</v>
      </c>
      <c r="E527" s="11" t="s">
        <v>49</v>
      </c>
      <c r="F527" s="14">
        <v>43438</v>
      </c>
      <c r="G527" s="25">
        <f>YEAR(Employees_Tbl[[#This Row],[HIRE DATE]])</f>
        <v>2018</v>
      </c>
      <c r="H527" s="11" t="s">
        <v>705</v>
      </c>
      <c r="I527" s="11" t="s">
        <v>706</v>
      </c>
      <c r="J527" s="12">
        <v>39600</v>
      </c>
      <c r="K527" s="12">
        <v>1000</v>
      </c>
      <c r="L527" s="13">
        <v>27400</v>
      </c>
      <c r="M527" s="13">
        <f>SUM(Employees_Tbl[[#This Row],[BASE SALARY]:[COMMISSION]])</f>
        <v>68000</v>
      </c>
      <c r="N527" s="11">
        <v>15</v>
      </c>
      <c r="O527" s="11">
        <v>6</v>
      </c>
      <c r="P527" s="11">
        <v>3</v>
      </c>
    </row>
    <row r="528" spans="1:16" x14ac:dyDescent="0.25">
      <c r="A528" s="11" t="s">
        <v>1166</v>
      </c>
      <c r="B528" s="11" t="s">
        <v>1167</v>
      </c>
      <c r="C528" s="11" t="s">
        <v>1168</v>
      </c>
      <c r="D528" s="11" t="str">
        <f>Employees_Tbl[[#This Row],[LAST]] &amp;"." &amp; Employees_Tbl[[#This Row],[FIRST]]</f>
        <v>Mcpherson.Jim</v>
      </c>
      <c r="E528" s="11" t="s">
        <v>49</v>
      </c>
      <c r="F528" s="14">
        <v>43898</v>
      </c>
      <c r="G528" s="25">
        <f>YEAR(Employees_Tbl[[#This Row],[HIRE DATE]])</f>
        <v>2020</v>
      </c>
      <c r="H528" s="11" t="s">
        <v>705</v>
      </c>
      <c r="I528" s="11" t="s">
        <v>706</v>
      </c>
      <c r="J528" s="12">
        <v>36300</v>
      </c>
      <c r="K528" s="12">
        <v>1000</v>
      </c>
      <c r="L528" s="13">
        <v>21500</v>
      </c>
      <c r="M528" s="13">
        <f>SUM(Employees_Tbl[[#This Row],[BASE SALARY]:[COMMISSION]])</f>
        <v>58800</v>
      </c>
      <c r="N528" s="11">
        <v>10</v>
      </c>
      <c r="O528" s="11">
        <v>4</v>
      </c>
      <c r="P528" s="11">
        <v>4</v>
      </c>
    </row>
    <row r="529" spans="1:16" x14ac:dyDescent="0.25">
      <c r="A529" s="11" t="s">
        <v>781</v>
      </c>
      <c r="B529" s="11" t="s">
        <v>223</v>
      </c>
      <c r="C529" s="11" t="s">
        <v>373</v>
      </c>
      <c r="D529" s="11" t="str">
        <f>Employees_Tbl[[#This Row],[LAST]] &amp;"." &amp; Employees_Tbl[[#This Row],[FIRST]]</f>
        <v>Martin.Michael</v>
      </c>
      <c r="E529" s="11" t="s">
        <v>49</v>
      </c>
      <c r="F529" s="14">
        <v>43203</v>
      </c>
      <c r="G529" s="25">
        <f>YEAR(Employees_Tbl[[#This Row],[HIRE DATE]])</f>
        <v>2018</v>
      </c>
      <c r="H529" s="11" t="s">
        <v>705</v>
      </c>
      <c r="I529" s="11" t="s">
        <v>706</v>
      </c>
      <c r="J529" s="12">
        <v>32800</v>
      </c>
      <c r="K529" s="12">
        <v>1000</v>
      </c>
      <c r="L529" s="13">
        <v>56600</v>
      </c>
      <c r="M529" s="13">
        <f>SUM(Employees_Tbl[[#This Row],[BASE SALARY]:[COMMISSION]])</f>
        <v>90400</v>
      </c>
      <c r="N529" s="11">
        <v>11</v>
      </c>
      <c r="O529" s="11">
        <v>11</v>
      </c>
      <c r="P529" s="11">
        <v>3</v>
      </c>
    </row>
    <row r="530" spans="1:16" x14ac:dyDescent="0.25">
      <c r="A530" s="11" t="s">
        <v>939</v>
      </c>
      <c r="B530" s="11" t="s">
        <v>940</v>
      </c>
      <c r="C530" s="11" t="s">
        <v>941</v>
      </c>
      <c r="D530" s="11" t="str">
        <f>Employees_Tbl[[#This Row],[LAST]] &amp;"." &amp; Employees_Tbl[[#This Row],[FIRST]]</f>
        <v>Parrish.Lee</v>
      </c>
      <c r="E530" s="11" t="s">
        <v>49</v>
      </c>
      <c r="F530" s="14">
        <v>43573</v>
      </c>
      <c r="G530" s="25">
        <f>YEAR(Employees_Tbl[[#This Row],[HIRE DATE]])</f>
        <v>2019</v>
      </c>
      <c r="H530" s="11" t="s">
        <v>705</v>
      </c>
      <c r="I530" s="11" t="s">
        <v>706</v>
      </c>
      <c r="J530" s="12">
        <v>32800</v>
      </c>
      <c r="K530" s="12">
        <v>1000</v>
      </c>
      <c r="L530" s="13">
        <v>18400</v>
      </c>
      <c r="M530" s="13">
        <f>SUM(Employees_Tbl[[#This Row],[BASE SALARY]:[COMMISSION]])</f>
        <v>52200</v>
      </c>
      <c r="N530" s="11">
        <v>15</v>
      </c>
      <c r="O530" s="11">
        <v>7</v>
      </c>
      <c r="P530" s="11">
        <v>2</v>
      </c>
    </row>
    <row r="531" spans="1:16" x14ac:dyDescent="0.25">
      <c r="A531" s="11" t="s">
        <v>942</v>
      </c>
      <c r="B531" s="11" t="s">
        <v>204</v>
      </c>
      <c r="C531" s="11" t="s">
        <v>943</v>
      </c>
      <c r="D531" s="11" t="str">
        <f>Employees_Tbl[[#This Row],[LAST]] &amp;"." &amp; Employees_Tbl[[#This Row],[FIRST]]</f>
        <v>Stout.Richard</v>
      </c>
      <c r="E531" s="11" t="s">
        <v>49</v>
      </c>
      <c r="F531" s="14">
        <v>43782</v>
      </c>
      <c r="G531" s="25">
        <f>YEAR(Employees_Tbl[[#This Row],[HIRE DATE]])</f>
        <v>2019</v>
      </c>
      <c r="H531" s="11" t="s">
        <v>705</v>
      </c>
      <c r="I531" s="11" t="s">
        <v>706</v>
      </c>
      <c r="J531" s="12">
        <v>31800</v>
      </c>
      <c r="K531" s="12">
        <v>1000</v>
      </c>
      <c r="L531" s="13">
        <v>19100</v>
      </c>
      <c r="M531" s="13">
        <f>SUM(Employees_Tbl[[#This Row],[BASE SALARY]:[COMMISSION]])</f>
        <v>51900</v>
      </c>
      <c r="N531" s="11">
        <v>16</v>
      </c>
      <c r="O531" s="11">
        <v>7</v>
      </c>
      <c r="P531" s="11">
        <v>3</v>
      </c>
    </row>
    <row r="532" spans="1:16" x14ac:dyDescent="0.25">
      <c r="A532" s="11" t="s">
        <v>774</v>
      </c>
      <c r="B532" s="11" t="s">
        <v>94</v>
      </c>
      <c r="C532" s="11" t="s">
        <v>775</v>
      </c>
      <c r="D532" s="11" t="str">
        <f>Employees_Tbl[[#This Row],[LAST]] &amp;"." &amp; Employees_Tbl[[#This Row],[FIRST]]</f>
        <v>Nygaard.John</v>
      </c>
      <c r="E532" s="11" t="s">
        <v>49</v>
      </c>
      <c r="F532" s="14">
        <v>43151</v>
      </c>
      <c r="G532" s="25">
        <f>YEAR(Employees_Tbl[[#This Row],[HIRE DATE]])</f>
        <v>2018</v>
      </c>
      <c r="H532" s="11" t="s">
        <v>705</v>
      </c>
      <c r="I532" s="11" t="s">
        <v>706</v>
      </c>
      <c r="J532" s="12">
        <v>31300</v>
      </c>
      <c r="K532" s="12">
        <v>1500</v>
      </c>
      <c r="L532" s="13">
        <v>27200</v>
      </c>
      <c r="M532" s="13">
        <f>SUM(Employees_Tbl[[#This Row],[BASE SALARY]:[COMMISSION]])</f>
        <v>60000</v>
      </c>
      <c r="N532" s="11">
        <v>15</v>
      </c>
      <c r="O532" s="11">
        <v>8</v>
      </c>
      <c r="P532" s="11">
        <v>4</v>
      </c>
    </row>
    <row r="533" spans="1:16" x14ac:dyDescent="0.25">
      <c r="A533" s="11" t="s">
        <v>776</v>
      </c>
      <c r="B533" s="11" t="s">
        <v>777</v>
      </c>
      <c r="C533" s="11" t="s">
        <v>134</v>
      </c>
      <c r="D533" s="11" t="str">
        <f>Employees_Tbl[[#This Row],[LAST]] &amp;"." &amp; Employees_Tbl[[#This Row],[FIRST]]</f>
        <v>James.Calvin</v>
      </c>
      <c r="E533" s="11" t="s">
        <v>49</v>
      </c>
      <c r="F533" s="14">
        <v>43276</v>
      </c>
      <c r="G533" s="25">
        <f>YEAR(Employees_Tbl[[#This Row],[HIRE DATE]])</f>
        <v>2018</v>
      </c>
      <c r="H533" s="11" t="s">
        <v>705</v>
      </c>
      <c r="I533" s="11" t="s">
        <v>706</v>
      </c>
      <c r="J533" s="12">
        <v>30900</v>
      </c>
      <c r="K533" s="12">
        <v>1000</v>
      </c>
      <c r="L533" s="13">
        <v>32200</v>
      </c>
      <c r="M533" s="13">
        <f>SUM(Employees_Tbl[[#This Row],[BASE SALARY]:[COMMISSION]])</f>
        <v>64100</v>
      </c>
      <c r="N533" s="11">
        <v>16</v>
      </c>
      <c r="O533" s="11">
        <v>9</v>
      </c>
      <c r="P533" s="11">
        <v>5</v>
      </c>
    </row>
    <row r="534" spans="1:16" x14ac:dyDescent="0.25">
      <c r="A534" s="11" t="s">
        <v>944</v>
      </c>
      <c r="B534" s="11" t="s">
        <v>94</v>
      </c>
      <c r="C534" s="11" t="s">
        <v>945</v>
      </c>
      <c r="D534" s="11" t="str">
        <f>Employees_Tbl[[#This Row],[LAST]] &amp;"." &amp; Employees_Tbl[[#This Row],[FIRST]]</f>
        <v>Palacios.John</v>
      </c>
      <c r="E534" s="11" t="s">
        <v>49</v>
      </c>
      <c r="F534" s="14">
        <v>43799</v>
      </c>
      <c r="G534" s="25">
        <f>YEAR(Employees_Tbl[[#This Row],[HIRE DATE]])</f>
        <v>2019</v>
      </c>
      <c r="H534" s="11" t="s">
        <v>705</v>
      </c>
      <c r="I534" s="11" t="s">
        <v>706</v>
      </c>
      <c r="J534" s="12">
        <v>30800</v>
      </c>
      <c r="K534" s="12">
        <v>1000</v>
      </c>
      <c r="L534" s="13">
        <v>43300</v>
      </c>
      <c r="M534" s="13">
        <f>SUM(Employees_Tbl[[#This Row],[BASE SALARY]:[COMMISSION]])</f>
        <v>75100</v>
      </c>
      <c r="N534" s="11">
        <v>11</v>
      </c>
      <c r="O534" s="11">
        <v>7</v>
      </c>
      <c r="P534" s="11">
        <v>2</v>
      </c>
    </row>
    <row r="535" spans="1:16" x14ac:dyDescent="0.25">
      <c r="A535" s="22" t="s">
        <v>1417</v>
      </c>
      <c r="B535" s="22"/>
      <c r="C535" s="22"/>
      <c r="D535" s="22"/>
      <c r="E535" s="22"/>
      <c r="F535" s="23"/>
      <c r="G535" s="23"/>
      <c r="H535" s="22"/>
      <c r="I535" s="22"/>
      <c r="J535" s="24">
        <f>SUBTOTAL(109,Employees_Tbl[BASE SALARY])</f>
        <v>32805700</v>
      </c>
      <c r="K535" s="24">
        <f>SUBTOTAL(109,Employees_Tbl[BONUS])</f>
        <v>982450</v>
      </c>
      <c r="L535" s="24">
        <f>SUBTOTAL(109,Employees_Tbl[COMMISSION])</f>
        <v>2413900</v>
      </c>
      <c r="M535" s="24"/>
      <c r="N535" s="22">
        <f>SUBTOTAL(101,Employees_Tbl[PERSONAL DAYS])</f>
        <v>13.958490566037735</v>
      </c>
      <c r="O535" s="22">
        <f>SUBTOTAL(101,Employees_Tbl[SICK DAYS])</f>
        <v>6.2018867924528305</v>
      </c>
      <c r="P535" s="22">
        <f>SUBTOTAL(101,Employees_Tbl[EVAL SCORE])</f>
        <v>3.9641509433962265</v>
      </c>
    </row>
  </sheetData>
  <sortState xmlns:xlrd2="http://schemas.microsoft.com/office/spreadsheetml/2017/richdata2" ref="A5:P534">
    <sortCondition ref="H5:H534" customList="Boston,Chicago,Denver,San Francisco,Dallas"/>
    <sortCondition ref="E5:E534"/>
    <sortCondition descending="1" ref="J5:J534"/>
  </sortState>
  <dataValidations count="1">
    <dataValidation allowBlank="1" error="pavI8MeUFtEyxX2I4tky7707fed5-ecdc-4142-92a8-6abbe791448b" sqref="A1:P534" xr:uid="{00000000-0002-0000-0200-000000000000}"/>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14F8F-461C-49BF-A67A-39AEF82372DB}">
  <dimension ref="B1:E23"/>
  <sheetViews>
    <sheetView zoomScale="120" zoomScaleNormal="120" workbookViewId="0"/>
  </sheetViews>
  <sheetFormatPr defaultRowHeight="15" x14ac:dyDescent="0.25"/>
  <cols>
    <col min="1" max="1" width="2" customWidth="1"/>
    <col min="2" max="2" width="18" customWidth="1"/>
    <col min="3" max="3" width="25.85546875" customWidth="1"/>
    <col min="4" max="4" width="12.28515625" customWidth="1"/>
    <col min="5" max="5" width="40.140625" customWidth="1"/>
    <col min="6" max="6" width="19.7109375" customWidth="1"/>
    <col min="7" max="7" width="18.42578125" customWidth="1"/>
  </cols>
  <sheetData>
    <row r="1" spans="2:5" ht="35.25" x14ac:dyDescent="0.5">
      <c r="B1" s="1" t="s">
        <v>0</v>
      </c>
    </row>
    <row r="3" spans="2:5" ht="18.75" x14ac:dyDescent="0.3">
      <c r="B3" s="5" t="s">
        <v>1317</v>
      </c>
    </row>
    <row r="4" spans="2:5" x14ac:dyDescent="0.25">
      <c r="B4" s="15" t="s">
        <v>1303</v>
      </c>
      <c r="C4" s="15" t="s">
        <v>1304</v>
      </c>
      <c r="D4" s="15" t="s">
        <v>1305</v>
      </c>
      <c r="E4" s="15" t="s">
        <v>1306</v>
      </c>
    </row>
    <row r="5" spans="2:5" ht="30" x14ac:dyDescent="0.25">
      <c r="B5" s="17" t="s">
        <v>8</v>
      </c>
      <c r="C5" s="18" t="s">
        <v>1312</v>
      </c>
      <c r="D5" s="18" t="s">
        <v>1307</v>
      </c>
      <c r="E5" s="16" t="s">
        <v>1384</v>
      </c>
    </row>
    <row r="6" spans="2:5" x14ac:dyDescent="0.25">
      <c r="B6" s="17" t="s">
        <v>1286</v>
      </c>
      <c r="C6" s="18" t="s">
        <v>1308</v>
      </c>
      <c r="D6" s="18" t="s">
        <v>1307</v>
      </c>
      <c r="E6" s="16" t="s">
        <v>1385</v>
      </c>
    </row>
    <row r="7" spans="2:5" x14ac:dyDescent="0.25">
      <c r="B7" s="17" t="s">
        <v>1287</v>
      </c>
      <c r="C7" s="18" t="s">
        <v>1309</v>
      </c>
      <c r="D7" s="18" t="s">
        <v>1307</v>
      </c>
      <c r="E7" s="16" t="s">
        <v>1385</v>
      </c>
    </row>
    <row r="8" spans="2:5" ht="45" x14ac:dyDescent="0.25">
      <c r="B8" s="17" t="s">
        <v>1285</v>
      </c>
      <c r="C8" s="18" t="s">
        <v>1310</v>
      </c>
      <c r="D8" s="18" t="s">
        <v>1307</v>
      </c>
      <c r="E8" s="16" t="s">
        <v>1322</v>
      </c>
    </row>
    <row r="9" spans="2:5" x14ac:dyDescent="0.25">
      <c r="B9" s="17" t="s">
        <v>1288</v>
      </c>
      <c r="C9" s="18" t="s">
        <v>1302</v>
      </c>
      <c r="D9" s="18" t="s">
        <v>1311</v>
      </c>
      <c r="E9" s="16" t="s">
        <v>1388</v>
      </c>
    </row>
    <row r="10" spans="2:5" ht="30" x14ac:dyDescent="0.25">
      <c r="B10" s="17" t="s">
        <v>1289</v>
      </c>
      <c r="C10" s="18" t="s">
        <v>1313</v>
      </c>
      <c r="D10" s="18" t="s">
        <v>1307</v>
      </c>
      <c r="E10" s="16" t="s">
        <v>1321</v>
      </c>
    </row>
    <row r="11" spans="2:5" ht="30" x14ac:dyDescent="0.25">
      <c r="B11" s="17" t="s">
        <v>1290</v>
      </c>
      <c r="C11" s="18" t="s">
        <v>1314</v>
      </c>
      <c r="D11" s="18" t="s">
        <v>1307</v>
      </c>
      <c r="E11" s="16" t="s">
        <v>1387</v>
      </c>
    </row>
    <row r="12" spans="2:5" ht="30" x14ac:dyDescent="0.25">
      <c r="B12" s="17" t="s">
        <v>1301</v>
      </c>
      <c r="C12" s="18" t="s">
        <v>1315</v>
      </c>
      <c r="D12" s="18" t="s">
        <v>1316</v>
      </c>
      <c r="E12" s="16" t="s">
        <v>1386</v>
      </c>
    </row>
    <row r="13" spans="2:5" ht="30" x14ac:dyDescent="0.25">
      <c r="B13" s="17" t="s">
        <v>1291</v>
      </c>
      <c r="C13" s="18" t="s">
        <v>1396</v>
      </c>
      <c r="D13" s="18" t="s">
        <v>1316</v>
      </c>
      <c r="E13" s="16" t="s">
        <v>1409</v>
      </c>
    </row>
    <row r="14" spans="2:5" ht="30" x14ac:dyDescent="0.25">
      <c r="B14" s="17" t="s">
        <v>1292</v>
      </c>
      <c r="C14" s="18" t="s">
        <v>1412</v>
      </c>
      <c r="D14" s="18" t="s">
        <v>1316</v>
      </c>
      <c r="E14" s="16" t="s">
        <v>1410</v>
      </c>
    </row>
    <row r="15" spans="2:5" ht="30" x14ac:dyDescent="0.25">
      <c r="B15" s="17" t="s">
        <v>1293</v>
      </c>
      <c r="C15" s="18" t="s">
        <v>1401</v>
      </c>
      <c r="D15" s="18" t="s">
        <v>1316</v>
      </c>
      <c r="E15" s="16" t="s">
        <v>1323</v>
      </c>
    </row>
    <row r="16" spans="2:5" ht="30" x14ac:dyDescent="0.25">
      <c r="B16" s="17" t="s">
        <v>1294</v>
      </c>
      <c r="C16" s="18" t="s">
        <v>1413</v>
      </c>
      <c r="D16" s="18" t="s">
        <v>1316</v>
      </c>
      <c r="E16" s="16" t="s">
        <v>1414</v>
      </c>
    </row>
    <row r="17" spans="2:5" ht="30" x14ac:dyDescent="0.25">
      <c r="B17" s="17" t="s">
        <v>1295</v>
      </c>
      <c r="C17" s="18" t="s">
        <v>1402</v>
      </c>
      <c r="D17" s="18" t="s">
        <v>1316</v>
      </c>
      <c r="E17" s="16" t="s">
        <v>1403</v>
      </c>
    </row>
    <row r="19" spans="2:5" ht="18.75" x14ac:dyDescent="0.3">
      <c r="B19" s="5" t="s">
        <v>1389</v>
      </c>
    </row>
    <row r="20" spans="2:5" x14ac:dyDescent="0.25">
      <c r="B20" s="15" t="s">
        <v>1303</v>
      </c>
      <c r="C20" s="15" t="s">
        <v>1304</v>
      </c>
      <c r="D20" s="15" t="s">
        <v>1305</v>
      </c>
      <c r="E20" s="15" t="s">
        <v>1306</v>
      </c>
    </row>
    <row r="21" spans="2:5" ht="30" x14ac:dyDescent="0.25">
      <c r="B21" s="17" t="s">
        <v>1390</v>
      </c>
      <c r="C21" s="18" t="s">
        <v>1391</v>
      </c>
      <c r="D21" s="18" t="s">
        <v>1307</v>
      </c>
      <c r="E21" s="16" t="s">
        <v>1392</v>
      </c>
    </row>
    <row r="22" spans="2:5" ht="30" x14ac:dyDescent="0.25">
      <c r="B22" s="17" t="s">
        <v>1395</v>
      </c>
      <c r="C22" s="18" t="s">
        <v>1393</v>
      </c>
      <c r="D22" s="18" t="s">
        <v>1316</v>
      </c>
      <c r="E22" s="16" t="s">
        <v>1400</v>
      </c>
    </row>
    <row r="23" spans="2:5" ht="30" x14ac:dyDescent="0.25">
      <c r="B23" s="17" t="s">
        <v>1397</v>
      </c>
      <c r="C23" s="18" t="s">
        <v>1398</v>
      </c>
      <c r="D23" s="18" t="s">
        <v>1316</v>
      </c>
      <c r="E23" s="16" t="s">
        <v>1394</v>
      </c>
    </row>
  </sheetData>
  <dataValidations count="1">
    <dataValidation allowBlank="1" error="pavI8MeUFtEyxX2I4tky7707fed5-ecdc-4142-92a8-6abbe791448b" sqref="A1:E23" xr:uid="{00000000-0002-0000-0300-000000000000}"/>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GradingEngineProps xmlns="http://tempuri.org/temp">
  <UserID>{7707fed5-ecdc-4142-92a8-6abbe791448b}</UserID>
  <AssignmentID>{7707fed5-ecdc-4142-92a8-6abbe791448b}</AssignmentID>
</GradingEngineProps>
</file>

<file path=customXml/itemProps1.xml><?xml version="1.0" encoding="utf-8"?>
<ds:datastoreItem xmlns:ds="http://schemas.openxmlformats.org/officeDocument/2006/customXml" ds:itemID="{BB51EDFB-8E55-49E4-A0EE-CE78D8FAD8DE}">
  <ds:schemaRefs>
    <ds:schemaRef ds:uri="http://tempuri.org/tem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Documentation</vt:lpstr>
      <vt:lpstr>Dashboard</vt:lpstr>
      <vt:lpstr>Employees</vt:lpstr>
      <vt:lpstr>Data 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Your Name</dc:creator>
  <cp:keywords>© 2020 Cengage Learning.</cp:keywords>
  <cp:lastModifiedBy>Kwesi Koufie</cp:lastModifiedBy>
  <dcterms:created xsi:type="dcterms:W3CDTF">2018-10-02T04:41:12Z</dcterms:created>
  <dcterms:modified xsi:type="dcterms:W3CDTF">2022-04-08T15:30:08Z</dcterms:modified>
</cp:coreProperties>
</file>